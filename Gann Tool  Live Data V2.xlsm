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170" windowHeight="7260"/>
  </bookViews>
  <sheets>
    <sheet name="Nifty 50" sheetId="2" r:id="rId1"/>
    <sheet name="LiveData" sheetId="6" state="veryHidden" r:id="rId2"/>
  </sheets>
  <functionGroups builtInGroupCount="17"/>
  <calcPr calcId="145621"/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3" i="2"/>
  <c r="AH2" i="2" l="1"/>
  <c r="AG2" i="2"/>
  <c r="AF2" i="2"/>
  <c r="AE2" i="2"/>
  <c r="AD2" i="2"/>
  <c r="AC2" i="2"/>
  <c r="AB2" i="2"/>
  <c r="AA2" i="2"/>
  <c r="Z2" i="2"/>
  <c r="Y2" i="2"/>
  <c r="X2" i="2"/>
  <c r="V2" i="2"/>
  <c r="U2" i="2"/>
  <c r="T2" i="2"/>
  <c r="S2" i="2"/>
  <c r="R2" i="2"/>
  <c r="Q2" i="2"/>
  <c r="P2" i="2"/>
  <c r="O2" i="2"/>
  <c r="N2" i="2"/>
  <c r="M2" i="2"/>
  <c r="L2" i="2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3" i="2"/>
  <c r="F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3" i="2"/>
  <c r="G4" i="2"/>
  <c r="K4" i="2" s="1"/>
  <c r="G5" i="2"/>
  <c r="K5" i="2" s="1"/>
  <c r="G6" i="2"/>
  <c r="K6" i="2" s="1"/>
  <c r="G7" i="2"/>
  <c r="K7" i="2" s="1"/>
  <c r="G8" i="2"/>
  <c r="K8" i="2" s="1"/>
  <c r="G9" i="2"/>
  <c r="K9" i="2" s="1"/>
  <c r="G10" i="2"/>
  <c r="K10" i="2" s="1"/>
  <c r="G11" i="2"/>
  <c r="K11" i="2" s="1"/>
  <c r="G12" i="2"/>
  <c r="K12" i="2" s="1"/>
  <c r="G13" i="2"/>
  <c r="K13" i="2" s="1"/>
  <c r="G14" i="2"/>
  <c r="K14" i="2" s="1"/>
  <c r="G15" i="2"/>
  <c r="K15" i="2" s="1"/>
  <c r="G16" i="2"/>
  <c r="K16" i="2" s="1"/>
  <c r="G17" i="2"/>
  <c r="K17" i="2" s="1"/>
  <c r="G18" i="2"/>
  <c r="K18" i="2" s="1"/>
  <c r="G19" i="2"/>
  <c r="K19" i="2" s="1"/>
  <c r="G20" i="2"/>
  <c r="K20" i="2" s="1"/>
  <c r="G21" i="2"/>
  <c r="K21" i="2" s="1"/>
  <c r="G22" i="2"/>
  <c r="K22" i="2" s="1"/>
  <c r="G23" i="2"/>
  <c r="K23" i="2" s="1"/>
  <c r="G24" i="2"/>
  <c r="K24" i="2" s="1"/>
  <c r="G25" i="2"/>
  <c r="K25" i="2" s="1"/>
  <c r="G26" i="2"/>
  <c r="K26" i="2" s="1"/>
  <c r="G27" i="2"/>
  <c r="K27" i="2" s="1"/>
  <c r="G28" i="2"/>
  <c r="K28" i="2" s="1"/>
  <c r="G29" i="2"/>
  <c r="K29" i="2" s="1"/>
  <c r="G30" i="2"/>
  <c r="K30" i="2" s="1"/>
  <c r="G31" i="2"/>
  <c r="K31" i="2" s="1"/>
  <c r="G32" i="2"/>
  <c r="K32" i="2" s="1"/>
  <c r="G33" i="2"/>
  <c r="K33" i="2" s="1"/>
  <c r="G34" i="2"/>
  <c r="K34" i="2" s="1"/>
  <c r="G35" i="2"/>
  <c r="K35" i="2" s="1"/>
  <c r="G36" i="2"/>
  <c r="K36" i="2" s="1"/>
  <c r="G37" i="2"/>
  <c r="K37" i="2" s="1"/>
  <c r="G38" i="2"/>
  <c r="K38" i="2" s="1"/>
  <c r="G39" i="2"/>
  <c r="K39" i="2" s="1"/>
  <c r="G40" i="2"/>
  <c r="K40" i="2" s="1"/>
  <c r="G41" i="2"/>
  <c r="K41" i="2" s="1"/>
  <c r="G42" i="2"/>
  <c r="K42" i="2" s="1"/>
  <c r="G43" i="2"/>
  <c r="K43" i="2" s="1"/>
  <c r="G44" i="2"/>
  <c r="K44" i="2" s="1"/>
  <c r="G45" i="2"/>
  <c r="K45" i="2" s="1"/>
  <c r="G46" i="2"/>
  <c r="K46" i="2" s="1"/>
  <c r="G47" i="2"/>
  <c r="K47" i="2" s="1"/>
  <c r="G48" i="2"/>
  <c r="K48" i="2" s="1"/>
  <c r="G49" i="2"/>
  <c r="K49" i="2" s="1"/>
  <c r="G50" i="2"/>
  <c r="K50" i="2" s="1"/>
  <c r="G51" i="2"/>
  <c r="K51" i="2" s="1"/>
  <c r="G52" i="2"/>
  <c r="K52" i="2" s="1"/>
  <c r="G3" i="2"/>
  <c r="K3" i="2" s="1"/>
  <c r="AH37" i="2" l="1"/>
  <c r="AD37" i="2"/>
  <c r="Z37" i="2"/>
  <c r="U37" i="2"/>
  <c r="Q37" i="2"/>
  <c r="M37" i="2"/>
  <c r="AG37" i="2"/>
  <c r="AB37" i="2"/>
  <c r="V37" i="2"/>
  <c r="P37" i="2"/>
  <c r="AE37" i="2"/>
  <c r="X37" i="2"/>
  <c r="O37" i="2"/>
  <c r="Y37" i="2"/>
  <c r="N37" i="2"/>
  <c r="AF37" i="2"/>
  <c r="T37" i="2"/>
  <c r="L37" i="2"/>
  <c r="AC37" i="2"/>
  <c r="S37" i="2"/>
  <c r="AA37" i="2"/>
  <c r="R37" i="2"/>
  <c r="N25" i="2"/>
  <c r="V25" i="2"/>
  <c r="AE25" i="2"/>
  <c r="M25" i="2"/>
  <c r="Q25" i="2"/>
  <c r="U25" i="2"/>
  <c r="Z25" i="2"/>
  <c r="AD25" i="2"/>
  <c r="AH25" i="2"/>
  <c r="R25" i="2"/>
  <c r="AA25" i="2"/>
  <c r="T25" i="2"/>
  <c r="O25" i="2"/>
  <c r="X25" i="2"/>
  <c r="AF25" i="2"/>
  <c r="P25" i="2"/>
  <c r="Y25" i="2"/>
  <c r="AG25" i="2"/>
  <c r="S25" i="2"/>
  <c r="AB25" i="2"/>
  <c r="L25" i="2"/>
  <c r="AC25" i="2"/>
  <c r="M9" i="2"/>
  <c r="Q9" i="2"/>
  <c r="U9" i="2"/>
  <c r="Z9" i="2"/>
  <c r="AD9" i="2"/>
  <c r="AH9" i="2"/>
  <c r="N9" i="2"/>
  <c r="S9" i="2"/>
  <c r="Y9" i="2"/>
  <c r="AE9" i="2"/>
  <c r="O9" i="2"/>
  <c r="T9" i="2"/>
  <c r="AA9" i="2"/>
  <c r="AF9" i="2"/>
  <c r="P9" i="2"/>
  <c r="AB9" i="2"/>
  <c r="R9" i="2"/>
  <c r="AC9" i="2"/>
  <c r="V9" i="2"/>
  <c r="AG9" i="2"/>
  <c r="L9" i="2"/>
  <c r="X9" i="2"/>
  <c r="AH51" i="2"/>
  <c r="AD51" i="2"/>
  <c r="Z51" i="2"/>
  <c r="U51" i="2"/>
  <c r="Q51" i="2"/>
  <c r="M51" i="2"/>
  <c r="AE51" i="2"/>
  <c r="Y51" i="2"/>
  <c r="S51" i="2"/>
  <c r="N51" i="2"/>
  <c r="AC51" i="2"/>
  <c r="V51" i="2"/>
  <c r="O51" i="2"/>
  <c r="AA51" i="2"/>
  <c r="P51" i="2"/>
  <c r="AG51" i="2"/>
  <c r="X51" i="2"/>
  <c r="L51" i="2"/>
  <c r="AF51" i="2"/>
  <c r="T51" i="2"/>
  <c r="AB51" i="2"/>
  <c r="R51" i="2"/>
  <c r="AF47" i="2"/>
  <c r="AB47" i="2"/>
  <c r="X47" i="2"/>
  <c r="S47" i="2"/>
  <c r="O47" i="2"/>
  <c r="AG47" i="2"/>
  <c r="AA47" i="2"/>
  <c r="U47" i="2"/>
  <c r="P47" i="2"/>
  <c r="AE47" i="2"/>
  <c r="Y47" i="2"/>
  <c r="Q47" i="2"/>
  <c r="Z47" i="2"/>
  <c r="N47" i="2"/>
  <c r="AH47" i="2"/>
  <c r="V47" i="2"/>
  <c r="M47" i="2"/>
  <c r="AD47" i="2"/>
  <c r="T47" i="2"/>
  <c r="L47" i="2"/>
  <c r="AC47" i="2"/>
  <c r="R47" i="2"/>
  <c r="AH39" i="2"/>
  <c r="AD39" i="2"/>
  <c r="Z39" i="2"/>
  <c r="U39" i="2"/>
  <c r="Q39" i="2"/>
  <c r="M39" i="2"/>
  <c r="AF39" i="2"/>
  <c r="AA39" i="2"/>
  <c r="T39" i="2"/>
  <c r="O39" i="2"/>
  <c r="AC39" i="2"/>
  <c r="V39" i="2"/>
  <c r="N39" i="2"/>
  <c r="AB39" i="2"/>
  <c r="R39" i="2"/>
  <c r="Y39" i="2"/>
  <c r="P39" i="2"/>
  <c r="AG39" i="2"/>
  <c r="X39" i="2"/>
  <c r="L39" i="2"/>
  <c r="AE39" i="2"/>
  <c r="S39" i="2"/>
  <c r="AF27" i="2"/>
  <c r="AB27" i="2"/>
  <c r="X27" i="2"/>
  <c r="S27" i="2"/>
  <c r="O27" i="2"/>
  <c r="AE27" i="2"/>
  <c r="Z27" i="2"/>
  <c r="T27" i="2"/>
  <c r="N27" i="2"/>
  <c r="AD27" i="2"/>
  <c r="V27" i="2"/>
  <c r="P27" i="2"/>
  <c r="AC27" i="2"/>
  <c r="U27" i="2"/>
  <c r="M27" i="2"/>
  <c r="AH27" i="2"/>
  <c r="AA27" i="2"/>
  <c r="R27" i="2"/>
  <c r="L27" i="2"/>
  <c r="AG27" i="2"/>
  <c r="Y27" i="2"/>
  <c r="Q27" i="2"/>
  <c r="AF50" i="2"/>
  <c r="AB50" i="2"/>
  <c r="X50" i="2"/>
  <c r="S50" i="2"/>
  <c r="O50" i="2"/>
  <c r="AE50" i="2"/>
  <c r="Z50" i="2"/>
  <c r="T50" i="2"/>
  <c r="N50" i="2"/>
  <c r="AD50" i="2"/>
  <c r="V50" i="2"/>
  <c r="P50" i="2"/>
  <c r="AC50" i="2"/>
  <c r="R50" i="2"/>
  <c r="AA50" i="2"/>
  <c r="Q50" i="2"/>
  <c r="AH50" i="2"/>
  <c r="Y50" i="2"/>
  <c r="M50" i="2"/>
  <c r="AG50" i="2"/>
  <c r="U50" i="2"/>
  <c r="L50" i="2"/>
  <c r="AH46" i="2"/>
  <c r="AD46" i="2"/>
  <c r="Z46" i="2"/>
  <c r="U46" i="2"/>
  <c r="Q46" i="2"/>
  <c r="M46" i="2"/>
  <c r="AG46" i="2"/>
  <c r="AB46" i="2"/>
  <c r="V46" i="2"/>
  <c r="P46" i="2"/>
  <c r="AF46" i="2"/>
  <c r="Y46" i="2"/>
  <c r="R46" i="2"/>
  <c r="AC46" i="2"/>
  <c r="S46" i="2"/>
  <c r="AA46" i="2"/>
  <c r="O46" i="2"/>
  <c r="X46" i="2"/>
  <c r="N46" i="2"/>
  <c r="AE46" i="2"/>
  <c r="T46" i="2"/>
  <c r="L46" i="2"/>
  <c r="AF42" i="2"/>
  <c r="AB42" i="2"/>
  <c r="X42" i="2"/>
  <c r="S42" i="2"/>
  <c r="O42" i="2"/>
  <c r="AD42" i="2"/>
  <c r="Y42" i="2"/>
  <c r="R42" i="2"/>
  <c r="M42" i="2"/>
  <c r="AH42" i="2"/>
  <c r="AA42" i="2"/>
  <c r="T42" i="2"/>
  <c r="L42" i="2"/>
  <c r="AC42" i="2"/>
  <c r="Q42" i="2"/>
  <c r="Z42" i="2"/>
  <c r="P42" i="2"/>
  <c r="AG42" i="2"/>
  <c r="V42" i="2"/>
  <c r="N42" i="2"/>
  <c r="AE42" i="2"/>
  <c r="U42" i="2"/>
  <c r="AF38" i="2"/>
  <c r="AB38" i="2"/>
  <c r="X38" i="2"/>
  <c r="S38" i="2"/>
  <c r="O38" i="2"/>
  <c r="AG38" i="2"/>
  <c r="AA38" i="2"/>
  <c r="U38" i="2"/>
  <c r="P38" i="2"/>
  <c r="AD38" i="2"/>
  <c r="V38" i="2"/>
  <c r="N38" i="2"/>
  <c r="AE38" i="2"/>
  <c r="T38" i="2"/>
  <c r="L38" i="2"/>
  <c r="AC38" i="2"/>
  <c r="R38" i="2"/>
  <c r="Z38" i="2"/>
  <c r="Q38" i="2"/>
  <c r="AH38" i="2"/>
  <c r="Y38" i="2"/>
  <c r="M38" i="2"/>
  <c r="AH34" i="2"/>
  <c r="AD34" i="2"/>
  <c r="Z34" i="2"/>
  <c r="AC34" i="2"/>
  <c r="X34" i="2"/>
  <c r="S34" i="2"/>
  <c r="O34" i="2"/>
  <c r="AF34" i="2"/>
  <c r="Y34" i="2"/>
  <c r="R34" i="2"/>
  <c r="M34" i="2"/>
  <c r="AE34" i="2"/>
  <c r="U34" i="2"/>
  <c r="N34" i="2"/>
  <c r="AB34" i="2"/>
  <c r="T34" i="2"/>
  <c r="L34" i="2"/>
  <c r="AA34" i="2"/>
  <c r="Q34" i="2"/>
  <c r="AG34" i="2"/>
  <c r="V34" i="2"/>
  <c r="P34" i="2"/>
  <c r="R30" i="2"/>
  <c r="M30" i="2"/>
  <c r="Q30" i="2"/>
  <c r="U30" i="2"/>
  <c r="Z30" i="2"/>
  <c r="AD30" i="2"/>
  <c r="AH30" i="2"/>
  <c r="N30" i="2"/>
  <c r="V30" i="2"/>
  <c r="P30" i="2"/>
  <c r="S30" i="2"/>
  <c r="AA30" i="2"/>
  <c r="AF30" i="2"/>
  <c r="L30" i="2"/>
  <c r="T30" i="2"/>
  <c r="AB30" i="2"/>
  <c r="AG30" i="2"/>
  <c r="O30" i="2"/>
  <c r="X30" i="2"/>
  <c r="AC30" i="2"/>
  <c r="Y30" i="2"/>
  <c r="AE30" i="2"/>
  <c r="AH26" i="2"/>
  <c r="AD26" i="2"/>
  <c r="Z26" i="2"/>
  <c r="U26" i="2"/>
  <c r="Q26" i="2"/>
  <c r="M26" i="2"/>
  <c r="AF26" i="2"/>
  <c r="AA26" i="2"/>
  <c r="T26" i="2"/>
  <c r="O26" i="2"/>
  <c r="AE26" i="2"/>
  <c r="X26" i="2"/>
  <c r="P26" i="2"/>
  <c r="AC26" i="2"/>
  <c r="V26" i="2"/>
  <c r="N26" i="2"/>
  <c r="AB26" i="2"/>
  <c r="S26" i="2"/>
  <c r="L26" i="2"/>
  <c r="AG26" i="2"/>
  <c r="Y26" i="2"/>
  <c r="R26" i="2"/>
  <c r="AG22" i="2"/>
  <c r="AC22" i="2"/>
  <c r="Y22" i="2"/>
  <c r="T22" i="2"/>
  <c r="P22" i="2"/>
  <c r="L22" i="2"/>
  <c r="AH22" i="2"/>
  <c r="AB22" i="2"/>
  <c r="V22" i="2"/>
  <c r="Q22" i="2"/>
  <c r="AF22" i="2"/>
  <c r="AA22" i="2"/>
  <c r="U22" i="2"/>
  <c r="O22" i="2"/>
  <c r="X22" i="2"/>
  <c r="M22" i="2"/>
  <c r="AE22" i="2"/>
  <c r="S22" i="2"/>
  <c r="AD22" i="2"/>
  <c r="R22" i="2"/>
  <c r="Z22" i="2"/>
  <c r="N22" i="2"/>
  <c r="AG18" i="2"/>
  <c r="AC18" i="2"/>
  <c r="Y18" i="2"/>
  <c r="T18" i="2"/>
  <c r="P18" i="2"/>
  <c r="L18" i="2"/>
  <c r="AD18" i="2"/>
  <c r="X18" i="2"/>
  <c r="R18" i="2"/>
  <c r="M18" i="2"/>
  <c r="AH18" i="2"/>
  <c r="AB18" i="2"/>
  <c r="V18" i="2"/>
  <c r="Q18" i="2"/>
  <c r="Z18" i="2"/>
  <c r="N18" i="2"/>
  <c r="AF18" i="2"/>
  <c r="U18" i="2"/>
  <c r="AE18" i="2"/>
  <c r="S18" i="2"/>
  <c r="AA18" i="2"/>
  <c r="O18" i="2"/>
  <c r="AG14" i="2"/>
  <c r="AC14" i="2"/>
  <c r="Y14" i="2"/>
  <c r="T14" i="2"/>
  <c r="P14" i="2"/>
  <c r="L14" i="2"/>
  <c r="AE14" i="2"/>
  <c r="Z14" i="2"/>
  <c r="S14" i="2"/>
  <c r="N14" i="2"/>
  <c r="AD14" i="2"/>
  <c r="X14" i="2"/>
  <c r="R14" i="2"/>
  <c r="M14" i="2"/>
  <c r="AA14" i="2"/>
  <c r="O14" i="2"/>
  <c r="AH14" i="2"/>
  <c r="V14" i="2"/>
  <c r="AF14" i="2"/>
  <c r="U14" i="2"/>
  <c r="AB14" i="2"/>
  <c r="Q14" i="2"/>
  <c r="AE10" i="2"/>
  <c r="AA10" i="2"/>
  <c r="V10" i="2"/>
  <c r="R10" i="2"/>
  <c r="N10" i="2"/>
  <c r="AG10" i="2"/>
  <c r="AB10" i="2"/>
  <c r="U10" i="2"/>
  <c r="P10" i="2"/>
  <c r="AF10" i="2"/>
  <c r="Z10" i="2"/>
  <c r="T10" i="2"/>
  <c r="O10" i="2"/>
  <c r="AC10" i="2"/>
  <c r="Q10" i="2"/>
  <c r="Y10" i="2"/>
  <c r="M10" i="2"/>
  <c r="AH10" i="2"/>
  <c r="X10" i="2"/>
  <c r="L10" i="2"/>
  <c r="AD10" i="2"/>
  <c r="S10" i="2"/>
  <c r="AE6" i="2"/>
  <c r="AA6" i="2"/>
  <c r="V6" i="2"/>
  <c r="R6" i="2"/>
  <c r="N6" i="2"/>
  <c r="AH6" i="2"/>
  <c r="AC6" i="2"/>
  <c r="X6" i="2"/>
  <c r="Q6" i="2"/>
  <c r="L6" i="2"/>
  <c r="AG6" i="2"/>
  <c r="AB6" i="2"/>
  <c r="U6" i="2"/>
  <c r="P6" i="2"/>
  <c r="AD6" i="2"/>
  <c r="S6" i="2"/>
  <c r="Z6" i="2"/>
  <c r="O6" i="2"/>
  <c r="Y6" i="2"/>
  <c r="M6" i="2"/>
  <c r="AF6" i="2"/>
  <c r="T6" i="2"/>
  <c r="AH41" i="2"/>
  <c r="AD41" i="2"/>
  <c r="Z41" i="2"/>
  <c r="U41" i="2"/>
  <c r="Q41" i="2"/>
  <c r="M41" i="2"/>
  <c r="AE41" i="2"/>
  <c r="Y41" i="2"/>
  <c r="S41" i="2"/>
  <c r="N41" i="2"/>
  <c r="AB41" i="2"/>
  <c r="T41" i="2"/>
  <c r="L41" i="2"/>
  <c r="AF41" i="2"/>
  <c r="V41" i="2"/>
  <c r="AC41" i="2"/>
  <c r="R41" i="2"/>
  <c r="AA41" i="2"/>
  <c r="P41" i="2"/>
  <c r="AG41" i="2"/>
  <c r="X41" i="2"/>
  <c r="O41" i="2"/>
  <c r="R21" i="2"/>
  <c r="AA21" i="2"/>
  <c r="M21" i="2"/>
  <c r="Q21" i="2"/>
  <c r="U21" i="2"/>
  <c r="Z21" i="2"/>
  <c r="AD21" i="2"/>
  <c r="AH21" i="2"/>
  <c r="N21" i="2"/>
  <c r="V21" i="2"/>
  <c r="AE21" i="2"/>
  <c r="S21" i="2"/>
  <c r="AB21" i="2"/>
  <c r="L21" i="2"/>
  <c r="T21" i="2"/>
  <c r="AC21" i="2"/>
  <c r="O21" i="2"/>
  <c r="X21" i="2"/>
  <c r="AF21" i="2"/>
  <c r="P21" i="2"/>
  <c r="Y21" i="2"/>
  <c r="AG21" i="2"/>
  <c r="M5" i="2"/>
  <c r="Q5" i="2"/>
  <c r="U5" i="2"/>
  <c r="Z5" i="2"/>
  <c r="AD5" i="2"/>
  <c r="AH5" i="2"/>
  <c r="AG5" i="2"/>
  <c r="O5" i="2"/>
  <c r="T5" i="2"/>
  <c r="AA5" i="2"/>
  <c r="AF5" i="2"/>
  <c r="P5" i="2"/>
  <c r="V5" i="2"/>
  <c r="AB5" i="2"/>
  <c r="R5" i="2"/>
  <c r="AC5" i="2"/>
  <c r="S5" i="2"/>
  <c r="AE5" i="2"/>
  <c r="L5" i="2"/>
  <c r="X5" i="2"/>
  <c r="N5" i="2"/>
  <c r="Y5" i="2"/>
  <c r="AE3" i="2"/>
  <c r="AA3" i="2"/>
  <c r="V3" i="2"/>
  <c r="R3" i="2"/>
  <c r="N3" i="2"/>
  <c r="AD3" i="2"/>
  <c r="Y3" i="2"/>
  <c r="S3" i="2"/>
  <c r="M3" i="2"/>
  <c r="AH3" i="2"/>
  <c r="AC3" i="2"/>
  <c r="X3" i="2"/>
  <c r="Q3" i="2"/>
  <c r="L3" i="2"/>
  <c r="T3" i="2"/>
  <c r="AB3" i="2"/>
  <c r="P3" i="2"/>
  <c r="Z3" i="2"/>
  <c r="O3" i="2"/>
  <c r="AG3" i="2"/>
  <c r="U3" i="2"/>
  <c r="AF3" i="2"/>
  <c r="AF45" i="2"/>
  <c r="AB45" i="2"/>
  <c r="X45" i="2"/>
  <c r="S45" i="2"/>
  <c r="O45" i="2"/>
  <c r="AH45" i="2"/>
  <c r="AC45" i="2"/>
  <c r="V45" i="2"/>
  <c r="Q45" i="2"/>
  <c r="L45" i="2"/>
  <c r="AG45" i="2"/>
  <c r="Z45" i="2"/>
  <c r="R45" i="2"/>
  <c r="AE45" i="2"/>
  <c r="U45" i="2"/>
  <c r="M45" i="2"/>
  <c r="AD45" i="2"/>
  <c r="T45" i="2"/>
  <c r="AA45" i="2"/>
  <c r="P45" i="2"/>
  <c r="Y45" i="2"/>
  <c r="N45" i="2"/>
  <c r="O33" i="2"/>
  <c r="S33" i="2"/>
  <c r="X33" i="2"/>
  <c r="AB33" i="2"/>
  <c r="AF33" i="2"/>
  <c r="V33" i="2"/>
  <c r="Q33" i="2"/>
  <c r="AH33" i="2"/>
  <c r="M33" i="2"/>
  <c r="R33" i="2"/>
  <c r="Y33" i="2"/>
  <c r="AD33" i="2"/>
  <c r="N33" i="2"/>
  <c r="T33" i="2"/>
  <c r="Z33" i="2"/>
  <c r="AE33" i="2"/>
  <c r="P33" i="2"/>
  <c r="U33" i="2"/>
  <c r="AA33" i="2"/>
  <c r="AG33" i="2"/>
  <c r="L33" i="2"/>
  <c r="AC33" i="2"/>
  <c r="O13" i="2"/>
  <c r="S13" i="2"/>
  <c r="X13" i="2"/>
  <c r="AB13" i="2"/>
  <c r="AF13" i="2"/>
  <c r="T13" i="2"/>
  <c r="M13" i="2"/>
  <c r="R13" i="2"/>
  <c r="Y13" i="2"/>
  <c r="AD13" i="2"/>
  <c r="N13" i="2"/>
  <c r="Z13" i="2"/>
  <c r="AE13" i="2"/>
  <c r="V13" i="2"/>
  <c r="P13" i="2"/>
  <c r="AA13" i="2"/>
  <c r="Q13" i="2"/>
  <c r="AC13" i="2"/>
  <c r="U13" i="2"/>
  <c r="AG13" i="2"/>
  <c r="L13" i="2"/>
  <c r="AH13" i="2"/>
  <c r="AF52" i="2"/>
  <c r="AB52" i="2"/>
  <c r="X52" i="2"/>
  <c r="S52" i="2"/>
  <c r="O52" i="2"/>
  <c r="AD52" i="2"/>
  <c r="Y52" i="2"/>
  <c r="R52" i="2"/>
  <c r="M52" i="2"/>
  <c r="AC52" i="2"/>
  <c r="U52" i="2"/>
  <c r="N52" i="2"/>
  <c r="AG52" i="2"/>
  <c r="V52" i="2"/>
  <c r="L52" i="2"/>
  <c r="AE52" i="2"/>
  <c r="T52" i="2"/>
  <c r="AA52" i="2"/>
  <c r="Q52" i="2"/>
  <c r="AH52" i="2"/>
  <c r="Z52" i="2"/>
  <c r="P52" i="2"/>
  <c r="M48" i="2"/>
  <c r="Q48" i="2"/>
  <c r="U48" i="2"/>
  <c r="Z48" i="2"/>
  <c r="AD48" i="2"/>
  <c r="AH48" i="2"/>
  <c r="AA48" i="2"/>
  <c r="AE48" i="2"/>
  <c r="T48" i="2"/>
  <c r="O48" i="2"/>
  <c r="P48" i="2"/>
  <c r="V48" i="2"/>
  <c r="AB48" i="2"/>
  <c r="AG48" i="2"/>
  <c r="L48" i="2"/>
  <c r="R48" i="2"/>
  <c r="X48" i="2"/>
  <c r="AC48" i="2"/>
  <c r="N48" i="2"/>
  <c r="S48" i="2"/>
  <c r="Y48" i="2"/>
  <c r="AF48" i="2"/>
  <c r="AH44" i="2"/>
  <c r="AD44" i="2"/>
  <c r="Z44" i="2"/>
  <c r="U44" i="2"/>
  <c r="Q44" i="2"/>
  <c r="M44" i="2"/>
  <c r="AC44" i="2"/>
  <c r="X44" i="2"/>
  <c r="R44" i="2"/>
  <c r="L44" i="2"/>
  <c r="AG44" i="2"/>
  <c r="AA44" i="2"/>
  <c r="S44" i="2"/>
  <c r="Y44" i="2"/>
  <c r="O44" i="2"/>
  <c r="AF44" i="2"/>
  <c r="V44" i="2"/>
  <c r="N44" i="2"/>
  <c r="AE44" i="2"/>
  <c r="T44" i="2"/>
  <c r="AB44" i="2"/>
  <c r="P44" i="2"/>
  <c r="AF40" i="2"/>
  <c r="AB40" i="2"/>
  <c r="X40" i="2"/>
  <c r="S40" i="2"/>
  <c r="O40" i="2"/>
  <c r="AE40" i="2"/>
  <c r="Z40" i="2"/>
  <c r="T40" i="2"/>
  <c r="N40" i="2"/>
  <c r="AC40" i="2"/>
  <c r="U40" i="2"/>
  <c r="M40" i="2"/>
  <c r="AH40" i="2"/>
  <c r="Y40" i="2"/>
  <c r="P40" i="2"/>
  <c r="AG40" i="2"/>
  <c r="V40" i="2"/>
  <c r="L40" i="2"/>
  <c r="AD40" i="2"/>
  <c r="R40" i="2"/>
  <c r="AA40" i="2"/>
  <c r="Q40" i="2"/>
  <c r="M36" i="2"/>
  <c r="Q36" i="2"/>
  <c r="U36" i="2"/>
  <c r="Z36" i="2"/>
  <c r="AD36" i="2"/>
  <c r="AH36" i="2"/>
  <c r="AB36" i="2"/>
  <c r="AG36" i="2"/>
  <c r="P36" i="2"/>
  <c r="L36" i="2"/>
  <c r="R36" i="2"/>
  <c r="X36" i="2"/>
  <c r="AC36" i="2"/>
  <c r="N36" i="2"/>
  <c r="S36" i="2"/>
  <c r="Y36" i="2"/>
  <c r="AE36" i="2"/>
  <c r="O36" i="2"/>
  <c r="T36" i="2"/>
  <c r="AA36" i="2"/>
  <c r="AF36" i="2"/>
  <c r="V36" i="2"/>
  <c r="M32" i="2"/>
  <c r="Q32" i="2"/>
  <c r="U32" i="2"/>
  <c r="Z32" i="2"/>
  <c r="AD32" i="2"/>
  <c r="AH32" i="2"/>
  <c r="X32" i="2"/>
  <c r="L32" i="2"/>
  <c r="AC32" i="2"/>
  <c r="N32" i="2"/>
  <c r="S32" i="2"/>
  <c r="Y32" i="2"/>
  <c r="AE32" i="2"/>
  <c r="O32" i="2"/>
  <c r="T32" i="2"/>
  <c r="AA32" i="2"/>
  <c r="AF32" i="2"/>
  <c r="P32" i="2"/>
  <c r="V32" i="2"/>
  <c r="AB32" i="2"/>
  <c r="AG32" i="2"/>
  <c r="R32" i="2"/>
  <c r="T28" i="2"/>
  <c r="AC28" i="2"/>
  <c r="O28" i="2"/>
  <c r="S28" i="2"/>
  <c r="X28" i="2"/>
  <c r="AB28" i="2"/>
  <c r="AF28" i="2"/>
  <c r="L28" i="2"/>
  <c r="P28" i="2"/>
  <c r="Y28" i="2"/>
  <c r="AG28" i="2"/>
  <c r="V28" i="2"/>
  <c r="Q28" i="2"/>
  <c r="Z28" i="2"/>
  <c r="AH28" i="2"/>
  <c r="R28" i="2"/>
  <c r="AA28" i="2"/>
  <c r="M28" i="2"/>
  <c r="U28" i="2"/>
  <c r="AD28" i="2"/>
  <c r="N28" i="2"/>
  <c r="AE28" i="2"/>
  <c r="L24" i="2"/>
  <c r="Y24" i="2"/>
  <c r="O24" i="2"/>
  <c r="S24" i="2"/>
  <c r="X24" i="2"/>
  <c r="AB24" i="2"/>
  <c r="AF24" i="2"/>
  <c r="P24" i="2"/>
  <c r="T24" i="2"/>
  <c r="AC24" i="2"/>
  <c r="AG24" i="2"/>
  <c r="R24" i="2"/>
  <c r="M24" i="2"/>
  <c r="U24" i="2"/>
  <c r="AD24" i="2"/>
  <c r="N24" i="2"/>
  <c r="V24" i="2"/>
  <c r="AE24" i="2"/>
  <c r="Q24" i="2"/>
  <c r="Z24" i="2"/>
  <c r="AH24" i="2"/>
  <c r="AA24" i="2"/>
  <c r="M20" i="2"/>
  <c r="Q20" i="2"/>
  <c r="U20" i="2"/>
  <c r="Z20" i="2"/>
  <c r="R20" i="2"/>
  <c r="AG20" i="2"/>
  <c r="P20" i="2"/>
  <c r="V20" i="2"/>
  <c r="AB20" i="2"/>
  <c r="AF20" i="2"/>
  <c r="L20" i="2"/>
  <c r="X20" i="2"/>
  <c r="AC20" i="2"/>
  <c r="AE20" i="2"/>
  <c r="N20" i="2"/>
  <c r="Y20" i="2"/>
  <c r="AH20" i="2"/>
  <c r="O20" i="2"/>
  <c r="AA20" i="2"/>
  <c r="S20" i="2"/>
  <c r="AD20" i="2"/>
  <c r="T20" i="2"/>
  <c r="M16" i="2"/>
  <c r="Q16" i="2"/>
  <c r="U16" i="2"/>
  <c r="Z16" i="2"/>
  <c r="AD16" i="2"/>
  <c r="AH16" i="2"/>
  <c r="Y16" i="2"/>
  <c r="L16" i="2"/>
  <c r="R16" i="2"/>
  <c r="X16" i="2"/>
  <c r="AC16" i="2"/>
  <c r="N16" i="2"/>
  <c r="S16" i="2"/>
  <c r="AE16" i="2"/>
  <c r="AG16" i="2"/>
  <c r="O16" i="2"/>
  <c r="AA16" i="2"/>
  <c r="P16" i="2"/>
  <c r="AB16" i="2"/>
  <c r="T16" i="2"/>
  <c r="AF16" i="2"/>
  <c r="V16" i="2"/>
  <c r="AE12" i="2"/>
  <c r="AA12" i="2"/>
  <c r="V12" i="2"/>
  <c r="R12" i="2"/>
  <c r="N12" i="2"/>
  <c r="AF12" i="2"/>
  <c r="Z12" i="2"/>
  <c r="T12" i="2"/>
  <c r="O12" i="2"/>
  <c r="AD12" i="2"/>
  <c r="Y12" i="2"/>
  <c r="S12" i="2"/>
  <c r="M12" i="2"/>
  <c r="AB12" i="2"/>
  <c r="P12" i="2"/>
  <c r="AH12" i="2"/>
  <c r="X12" i="2"/>
  <c r="L12" i="2"/>
  <c r="AG12" i="2"/>
  <c r="U12" i="2"/>
  <c r="AC12" i="2"/>
  <c r="Q12" i="2"/>
  <c r="O8" i="2"/>
  <c r="S8" i="2"/>
  <c r="X8" i="2"/>
  <c r="AB8" i="2"/>
  <c r="AF8" i="2"/>
  <c r="N8" i="2"/>
  <c r="T8" i="2"/>
  <c r="Z8" i="2"/>
  <c r="AE8" i="2"/>
  <c r="P8" i="2"/>
  <c r="U8" i="2"/>
  <c r="AA8" i="2"/>
  <c r="AG8" i="2"/>
  <c r="Y8" i="2"/>
  <c r="Q8" i="2"/>
  <c r="AC8" i="2"/>
  <c r="R8" i="2"/>
  <c r="AD8" i="2"/>
  <c r="L8" i="2"/>
  <c r="V8" i="2"/>
  <c r="AH8" i="2"/>
  <c r="M8" i="2"/>
  <c r="AG4" i="2"/>
  <c r="AC4" i="2"/>
  <c r="Y4" i="2"/>
  <c r="T4" i="2"/>
  <c r="P4" i="2"/>
  <c r="L4" i="2"/>
  <c r="AD4" i="2"/>
  <c r="X4" i="2"/>
  <c r="R4" i="2"/>
  <c r="M4" i="2"/>
  <c r="AH4" i="2"/>
  <c r="AB4" i="2"/>
  <c r="V4" i="2"/>
  <c r="Q4" i="2"/>
  <c r="AE4" i="2"/>
  <c r="AA4" i="2"/>
  <c r="O4" i="2"/>
  <c r="Z4" i="2"/>
  <c r="N4" i="2"/>
  <c r="AF4" i="2"/>
  <c r="U4" i="2"/>
  <c r="S4" i="2"/>
  <c r="AH49" i="2"/>
  <c r="AD49" i="2"/>
  <c r="Z49" i="2"/>
  <c r="U49" i="2"/>
  <c r="Q49" i="2"/>
  <c r="M49" i="2"/>
  <c r="AF49" i="2"/>
  <c r="AA49" i="2"/>
  <c r="T49" i="2"/>
  <c r="O49" i="2"/>
  <c r="AE49" i="2"/>
  <c r="X49" i="2"/>
  <c r="P49" i="2"/>
  <c r="AG49" i="2"/>
  <c r="V49" i="2"/>
  <c r="L49" i="2"/>
  <c r="AC49" i="2"/>
  <c r="S49" i="2"/>
  <c r="AB49" i="2"/>
  <c r="R49" i="2"/>
  <c r="Y49" i="2"/>
  <c r="N49" i="2"/>
  <c r="AH29" i="2"/>
  <c r="AD29" i="2"/>
  <c r="Z29" i="2"/>
  <c r="U29" i="2"/>
  <c r="Q29" i="2"/>
  <c r="M29" i="2"/>
  <c r="AE29" i="2"/>
  <c r="Y29" i="2"/>
  <c r="S29" i="2"/>
  <c r="N29" i="2"/>
  <c r="AC29" i="2"/>
  <c r="V29" i="2"/>
  <c r="O29" i="2"/>
  <c r="AB29" i="2"/>
  <c r="T29" i="2"/>
  <c r="L29" i="2"/>
  <c r="AG29" i="2"/>
  <c r="AA29" i="2"/>
  <c r="R29" i="2"/>
  <c r="AF29" i="2"/>
  <c r="X29" i="2"/>
  <c r="P29" i="2"/>
  <c r="O17" i="2"/>
  <c r="S17" i="2"/>
  <c r="X17" i="2"/>
  <c r="AB17" i="2"/>
  <c r="AF17" i="2"/>
  <c r="R17" i="2"/>
  <c r="L17" i="2"/>
  <c r="Q17" i="2"/>
  <c r="V17" i="2"/>
  <c r="AC17" i="2"/>
  <c r="AH17" i="2"/>
  <c r="M17" i="2"/>
  <c r="Y17" i="2"/>
  <c r="AD17" i="2"/>
  <c r="AG17" i="2"/>
  <c r="N17" i="2"/>
  <c r="Z17" i="2"/>
  <c r="P17" i="2"/>
  <c r="AA17" i="2"/>
  <c r="T17" i="2"/>
  <c r="AE17" i="2"/>
  <c r="U17" i="2"/>
  <c r="O43" i="2"/>
  <c r="S43" i="2"/>
  <c r="X43" i="2"/>
  <c r="AB43" i="2"/>
  <c r="AF43" i="2"/>
  <c r="U43" i="2"/>
  <c r="AA43" i="2"/>
  <c r="L43" i="2"/>
  <c r="Q43" i="2"/>
  <c r="V43" i="2"/>
  <c r="AC43" i="2"/>
  <c r="AH43" i="2"/>
  <c r="M43" i="2"/>
  <c r="R43" i="2"/>
  <c r="Y43" i="2"/>
  <c r="AD43" i="2"/>
  <c r="N43" i="2"/>
  <c r="T43" i="2"/>
  <c r="Z43" i="2"/>
  <c r="AE43" i="2"/>
  <c r="P43" i="2"/>
  <c r="AG43" i="2"/>
  <c r="AF35" i="2"/>
  <c r="AB35" i="2"/>
  <c r="X35" i="2"/>
  <c r="S35" i="2"/>
  <c r="O35" i="2"/>
  <c r="AH35" i="2"/>
  <c r="AC35" i="2"/>
  <c r="V35" i="2"/>
  <c r="Q35" i="2"/>
  <c r="L35" i="2"/>
  <c r="AE35" i="2"/>
  <c r="Y35" i="2"/>
  <c r="P35" i="2"/>
  <c r="AA35" i="2"/>
  <c r="R35" i="2"/>
  <c r="Z35" i="2"/>
  <c r="N35" i="2"/>
  <c r="AG35" i="2"/>
  <c r="U35" i="2"/>
  <c r="M35" i="2"/>
  <c r="AD35" i="2"/>
  <c r="T35" i="2"/>
  <c r="O31" i="2"/>
  <c r="S31" i="2"/>
  <c r="X31" i="2"/>
  <c r="AB31" i="2"/>
  <c r="AF31" i="2"/>
  <c r="R31" i="2"/>
  <c r="Y31" i="2"/>
  <c r="N31" i="2"/>
  <c r="T31" i="2"/>
  <c r="Z31" i="2"/>
  <c r="AE31" i="2"/>
  <c r="P31" i="2"/>
  <c r="U31" i="2"/>
  <c r="AA31" i="2"/>
  <c r="AG31" i="2"/>
  <c r="L31" i="2"/>
  <c r="Q31" i="2"/>
  <c r="V31" i="2"/>
  <c r="AC31" i="2"/>
  <c r="AH31" i="2"/>
  <c r="M31" i="2"/>
  <c r="AD31" i="2"/>
  <c r="AF23" i="2"/>
  <c r="AB23" i="2"/>
  <c r="AG23" i="2"/>
  <c r="AA23" i="2"/>
  <c r="V23" i="2"/>
  <c r="R23" i="2"/>
  <c r="N23" i="2"/>
  <c r="AE23" i="2"/>
  <c r="AC23" i="2"/>
  <c r="U23" i="2"/>
  <c r="P23" i="2"/>
  <c r="AH23" i="2"/>
  <c r="Z23" i="2"/>
  <c r="T23" i="2"/>
  <c r="O23" i="2"/>
  <c r="X23" i="2"/>
  <c r="L23" i="2"/>
  <c r="S23" i="2"/>
  <c r="AD23" i="2"/>
  <c r="Q23" i="2"/>
  <c r="Y23" i="2"/>
  <c r="M23" i="2"/>
  <c r="AE19" i="2"/>
  <c r="AA19" i="2"/>
  <c r="V19" i="2"/>
  <c r="R19" i="2"/>
  <c r="N19" i="2"/>
  <c r="AH19" i="2"/>
  <c r="AC19" i="2"/>
  <c r="X19" i="2"/>
  <c r="Q19" i="2"/>
  <c r="L19" i="2"/>
  <c r="AG19" i="2"/>
  <c r="AB19" i="2"/>
  <c r="U19" i="2"/>
  <c r="P19" i="2"/>
  <c r="Y19" i="2"/>
  <c r="M19" i="2"/>
  <c r="AF19" i="2"/>
  <c r="T19" i="2"/>
  <c r="AD19" i="2"/>
  <c r="S19" i="2"/>
  <c r="Z19" i="2"/>
  <c r="O19" i="2"/>
  <c r="AE15" i="2"/>
  <c r="AA15" i="2"/>
  <c r="V15" i="2"/>
  <c r="R15" i="2"/>
  <c r="N15" i="2"/>
  <c r="X15" i="2"/>
  <c r="AD15" i="2"/>
  <c r="Y15" i="2"/>
  <c r="S15" i="2"/>
  <c r="M15" i="2"/>
  <c r="AH15" i="2"/>
  <c r="AC15" i="2"/>
  <c r="Q15" i="2"/>
  <c r="L15" i="2"/>
  <c r="Z15" i="2"/>
  <c r="O15" i="2"/>
  <c r="AG15" i="2"/>
  <c r="U15" i="2"/>
  <c r="AF15" i="2"/>
  <c r="T15" i="2"/>
  <c r="AB15" i="2"/>
  <c r="P15" i="2"/>
  <c r="AG11" i="2"/>
  <c r="AC11" i="2"/>
  <c r="Y11" i="2"/>
  <c r="T11" i="2"/>
  <c r="P11" i="2"/>
  <c r="L11" i="2"/>
  <c r="AF11" i="2"/>
  <c r="AA11" i="2"/>
  <c r="U11" i="2"/>
  <c r="O11" i="2"/>
  <c r="AE11" i="2"/>
  <c r="Z11" i="2"/>
  <c r="S11" i="2"/>
  <c r="N11" i="2"/>
  <c r="Q11" i="2"/>
  <c r="X11" i="2"/>
  <c r="M11" i="2"/>
  <c r="AH11" i="2"/>
  <c r="V11" i="2"/>
  <c r="AD11" i="2"/>
  <c r="R11" i="2"/>
  <c r="AB11" i="2"/>
  <c r="AG7" i="2"/>
  <c r="AC7" i="2"/>
  <c r="Y7" i="2"/>
  <c r="T7" i="2"/>
  <c r="P7" i="2"/>
  <c r="L7" i="2"/>
  <c r="AH7" i="2"/>
  <c r="AB7" i="2"/>
  <c r="V7" i="2"/>
  <c r="Q7" i="2"/>
  <c r="AF7" i="2"/>
  <c r="AA7" i="2"/>
  <c r="U7" i="2"/>
  <c r="O7" i="2"/>
  <c r="AD7" i="2"/>
  <c r="R7" i="2"/>
  <c r="Z7" i="2"/>
  <c r="N7" i="2"/>
  <c r="X7" i="2"/>
  <c r="M7" i="2"/>
  <c r="AE7" i="2"/>
  <c r="S7" i="2"/>
  <c r="D41" i="2" l="1"/>
  <c r="E41" i="2" s="1"/>
  <c r="B4" i="2"/>
  <c r="C4" i="2" s="1"/>
  <c r="B20" i="2"/>
  <c r="C20" i="2" s="1"/>
  <c r="D52" i="2"/>
  <c r="E52" i="2" s="1"/>
  <c r="D51" i="2"/>
  <c r="E51" i="2" s="1"/>
  <c r="B48" i="2"/>
  <c r="C48" i="2" s="1"/>
  <c r="B47" i="2"/>
  <c r="C47" i="2" s="1"/>
  <c r="D4" i="2"/>
  <c r="E4" i="2" s="1"/>
  <c r="B5" i="2"/>
  <c r="C5" i="2" s="1"/>
  <c r="D6" i="2"/>
  <c r="E6" i="2" s="1"/>
  <c r="D26" i="2"/>
  <c r="E26" i="2" s="1"/>
  <c r="B36" i="2"/>
  <c r="C36" i="2" s="1"/>
  <c r="D24" i="2"/>
  <c r="E24" i="2" s="1"/>
  <c r="B27" i="2"/>
  <c r="C27" i="2" s="1"/>
  <c r="B38" i="2"/>
  <c r="C38" i="2" s="1"/>
  <c r="B44" i="2"/>
  <c r="C44" i="2" s="1"/>
  <c r="D44" i="2"/>
  <c r="E44" i="2" s="1"/>
  <c r="B15" i="2"/>
  <c r="C15" i="2" s="1"/>
  <c r="D5" i="2"/>
  <c r="E5" i="2" s="1"/>
  <c r="D31" i="2"/>
  <c r="E31" i="2" s="1"/>
  <c r="D40" i="2"/>
  <c r="E40" i="2" s="1"/>
  <c r="B22" i="2"/>
  <c r="C22" i="2" s="1"/>
  <c r="D9" i="2"/>
  <c r="E9" i="2" s="1"/>
  <c r="B14" i="2"/>
  <c r="C14" i="2" s="1"/>
  <c r="B21" i="2"/>
  <c r="C21" i="2" s="1"/>
  <c r="B23" i="2"/>
  <c r="C23" i="2" s="1"/>
  <c r="D14" i="2"/>
  <c r="E14" i="2" s="1"/>
  <c r="D47" i="2"/>
  <c r="E47" i="2" s="1"/>
  <c r="D13" i="2"/>
  <c r="E13" i="2" s="1"/>
  <c r="D37" i="2"/>
  <c r="E37" i="2" s="1"/>
  <c r="D20" i="2"/>
  <c r="E20" i="2" s="1"/>
  <c r="B43" i="2"/>
  <c r="C43" i="2" s="1"/>
  <c r="D32" i="2"/>
  <c r="E32" i="2" s="1"/>
  <c r="D43" i="2"/>
  <c r="E43" i="2" s="1"/>
  <c r="B13" i="2"/>
  <c r="C13" i="2" s="1"/>
  <c r="B9" i="2"/>
  <c r="C9" i="2" s="1"/>
  <c r="B35" i="2"/>
  <c r="C35" i="2" s="1"/>
  <c r="D38" i="2"/>
  <c r="E38" i="2" s="1"/>
  <c r="D10" i="2"/>
  <c r="E10" i="2" s="1"/>
  <c r="B19" i="2"/>
  <c r="C19" i="2" s="1"/>
  <c r="B29" i="2"/>
  <c r="C29" i="2" s="1"/>
  <c r="B31" i="2"/>
  <c r="C31" i="2" s="1"/>
  <c r="B6" i="2"/>
  <c r="C6" i="2" s="1"/>
  <c r="D30" i="2"/>
  <c r="E30" i="2" s="1"/>
  <c r="D36" i="2"/>
  <c r="E36" i="2" s="1"/>
  <c r="D35" i="2"/>
  <c r="E35" i="2" s="1"/>
  <c r="D29" i="2"/>
  <c r="E29" i="2" s="1"/>
  <c r="B50" i="2"/>
  <c r="C50" i="2" s="1"/>
  <c r="D50" i="2"/>
  <c r="E50" i="2" s="1"/>
  <c r="B8" i="2"/>
  <c r="C8" i="2" s="1"/>
  <c r="D22" i="2"/>
  <c r="E22" i="2" s="1"/>
  <c r="B24" i="2"/>
  <c r="C24" i="2" s="1"/>
  <c r="B30" i="2"/>
  <c r="C30" i="2" s="1"/>
  <c r="D46" i="2"/>
  <c r="E46" i="2" s="1"/>
  <c r="D21" i="2"/>
  <c r="E21" i="2" s="1"/>
  <c r="B46" i="2"/>
  <c r="C46" i="2" s="1"/>
  <c r="D19" i="2"/>
  <c r="E19" i="2" s="1"/>
  <c r="D45" i="2"/>
  <c r="E45" i="2" s="1"/>
  <c r="B51" i="2"/>
  <c r="C51" i="2" s="1"/>
  <c r="B37" i="2"/>
  <c r="C37" i="2" s="1"/>
  <c r="D27" i="2"/>
  <c r="E27" i="2" s="1"/>
  <c r="D34" i="2"/>
  <c r="E34" i="2" s="1"/>
  <c r="B10" i="2"/>
  <c r="C10" i="2" s="1"/>
  <c r="D12" i="2"/>
  <c r="E12" i="2" s="1"/>
  <c r="D39" i="2"/>
  <c r="E39" i="2" s="1"/>
  <c r="D11" i="2"/>
  <c r="E11" i="2" s="1"/>
  <c r="B42" i="2"/>
  <c r="C42" i="2" s="1"/>
  <c r="D8" i="2"/>
  <c r="E8" i="2" s="1"/>
  <c r="D25" i="2"/>
  <c r="E25" i="2" s="1"/>
  <c r="B49" i="2"/>
  <c r="C49" i="2" s="1"/>
  <c r="D15" i="2"/>
  <c r="E15" i="2" s="1"/>
  <c r="B11" i="2"/>
  <c r="C11" i="2" s="1"/>
  <c r="B25" i="2"/>
  <c r="C25" i="2" s="1"/>
  <c r="B34" i="2"/>
  <c r="C34" i="2" s="1"/>
  <c r="B26" i="2"/>
  <c r="C26" i="2" s="1"/>
  <c r="D17" i="2"/>
  <c r="E17" i="2" s="1"/>
  <c r="D28" i="2"/>
  <c r="E28" i="2" s="1"/>
  <c r="B40" i="2"/>
  <c r="C40" i="2" s="1"/>
  <c r="B45" i="2"/>
  <c r="C45" i="2" s="1"/>
  <c r="B33" i="2"/>
  <c r="C33" i="2" s="1"/>
  <c r="D49" i="2"/>
  <c r="E49" i="2" s="1"/>
  <c r="D48" i="2"/>
  <c r="E48" i="2" s="1"/>
  <c r="B12" i="2"/>
  <c r="C12" i="2" s="1"/>
  <c r="B28" i="2"/>
  <c r="C28" i="2" s="1"/>
  <c r="B18" i="2"/>
  <c r="C18" i="2" s="1"/>
  <c r="B52" i="2"/>
  <c r="C52" i="2" s="1"/>
  <c r="B17" i="2"/>
  <c r="C17" i="2" s="1"/>
  <c r="D33" i="2"/>
  <c r="E33" i="2" s="1"/>
  <c r="B41" i="2"/>
  <c r="C41" i="2" s="1"/>
  <c r="B16" i="2"/>
  <c r="C16" i="2" s="1"/>
  <c r="D16" i="2"/>
  <c r="E16" i="2" s="1"/>
  <c r="B7" i="2"/>
  <c r="C7" i="2" s="1"/>
  <c r="D18" i="2"/>
  <c r="E18" i="2" s="1"/>
  <c r="B32" i="2"/>
  <c r="C32" i="2" s="1"/>
  <c r="D42" i="2"/>
  <c r="E42" i="2" s="1"/>
  <c r="B39" i="2"/>
  <c r="C39" i="2" s="1"/>
  <c r="D7" i="2"/>
  <c r="E7" i="2" s="1"/>
  <c r="D23" i="2"/>
  <c r="E23" i="2" s="1"/>
  <c r="D3" i="2"/>
  <c r="E3" i="2" s="1"/>
  <c r="B3" i="2"/>
  <c r="C3" i="2" s="1"/>
</calcChain>
</file>

<file path=xl/connections.xml><?xml version="1.0" encoding="utf-8"?>
<connections xmlns="http://schemas.openxmlformats.org/spreadsheetml/2006/main">
  <connection id="1" interval="1" name="Connection" type="4" refreshedVersion="4" background="1" refreshOnLoad="1" saveData="1">
    <webPr sourceData="1" parsePre="1" consecutive="1" xl2000="1" url="http://www.moneycontrol.com/terminal/index_v1.php?index=9" htmlFormat="all"/>
  </connection>
</connections>
</file>

<file path=xl/sharedStrings.xml><?xml version="1.0" encoding="utf-8"?>
<sst xmlns="http://schemas.openxmlformats.org/spreadsheetml/2006/main" count="117" uniqueCount="62">
  <si>
    <t>Symbol</t>
  </si>
  <si>
    <t>M&amp;M</t>
  </si>
  <si>
    <t>BPCL</t>
  </si>
  <si>
    <t>HDFC</t>
  </si>
  <si>
    <t>IOC</t>
  </si>
  <si>
    <t>ITC</t>
  </si>
  <si>
    <t>NTPC</t>
  </si>
  <si>
    <t>UPL</t>
  </si>
  <si>
    <t>GAIL</t>
  </si>
  <si>
    <t>TCS</t>
  </si>
  <si>
    <t>ONGC</t>
  </si>
  <si>
    <t>BUY</t>
  </si>
  <si>
    <t>SELL</t>
  </si>
  <si>
    <t>LTP</t>
  </si>
  <si>
    <t>ADANIPORTS</t>
  </si>
  <si>
    <t>AMBUJACEM</t>
  </si>
  <si>
    <t>ASIANPAINT</t>
  </si>
  <si>
    <t>AUROPHARMA</t>
  </si>
  <si>
    <t>AXISBANK</t>
  </si>
  <si>
    <t>BAJAJ-AUTO</t>
  </si>
  <si>
    <t>BAJFINANCE</t>
  </si>
  <si>
    <t>BHARTIARTL</t>
  </si>
  <si>
    <t>INFRATEL</t>
  </si>
  <si>
    <t>BOSCHLTD</t>
  </si>
  <si>
    <t>CIPLA</t>
  </si>
  <si>
    <t>COALINDIA</t>
  </si>
  <si>
    <t>DRREDDY</t>
  </si>
  <si>
    <t>EICHERMOT</t>
  </si>
  <si>
    <t>HCLTECH</t>
  </si>
  <si>
    <t>HDFCBANK</t>
  </si>
  <si>
    <t>HEROMOTOCO</t>
  </si>
  <si>
    <t>HINDALCO</t>
  </si>
  <si>
    <t>HINDPETRO</t>
  </si>
  <si>
    <t>HINDUNILVR</t>
  </si>
  <si>
    <t>ICICIBANK</t>
  </si>
  <si>
    <t>IBULHSGFIN</t>
  </si>
  <si>
    <t>INDUSINDBK</t>
  </si>
  <si>
    <t>INFY</t>
  </si>
  <si>
    <t>KOTAKBANK</t>
  </si>
  <si>
    <t>LT</t>
  </si>
  <si>
    <t>LUPIN</t>
  </si>
  <si>
    <t>MARUTI</t>
  </si>
  <si>
    <t>POWERGRID</t>
  </si>
  <si>
    <t>RELIANCE</t>
  </si>
  <si>
    <t>SBIN</t>
  </si>
  <si>
    <t>SUNPHARMA</t>
  </si>
  <si>
    <t>TATAMOTORS</t>
  </si>
  <si>
    <t>TATASTEEL</t>
  </si>
  <si>
    <t>TECHM</t>
  </si>
  <si>
    <t>ULTRACEMCO</t>
  </si>
  <si>
    <t>VEDL</t>
  </si>
  <si>
    <t>WIPRO</t>
  </si>
  <si>
    <t>YESBANK</t>
  </si>
  <si>
    <t>ZEEL</t>
  </si>
  <si>
    <t>Open</t>
  </si>
  <si>
    <t>High</t>
  </si>
  <si>
    <t>Low</t>
  </si>
  <si>
    <t>Script</t>
  </si>
  <si>
    <t>Considered Price</t>
  </si>
  <si>
    <t>Diff for buy</t>
  </si>
  <si>
    <t>Diff for Sell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</si>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</sst>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1">
    <xf numFmtId="0" fontId="0" fillId="0" borderId="0" xfId="0"/>
    <xf numFmtId="43" fontId="2" fillId="3" borderId="17" xfId="1" applyFont="1" applyFill="1" applyBorder="1"/>
    <xf numFmtId="4" fontId="0" fillId="0" borderId="0" xfId="0" applyNumberFormat="1"/>
    <xf numFmtId="43" fontId="2" fillId="4" borderId="3" xfId="1" applyFont="1" applyFill="1" applyBorder="1" applyAlignment="1">
      <alignment horizontal="center" vertical="center" wrapText="1"/>
    </xf>
    <xf numFmtId="43" fontId="2" fillId="4" borderId="9" xfId="1" applyFont="1" applyFill="1" applyBorder="1" applyAlignment="1">
      <alignment horizontal="center" vertical="center" wrapText="1"/>
    </xf>
    <xf numFmtId="43" fontId="2" fillId="4" borderId="12" xfId="1" applyFont="1" applyFill="1" applyBorder="1" applyAlignment="1">
      <alignment horizontal="center" vertical="center" wrapText="1"/>
    </xf>
    <xf numFmtId="43" fontId="2" fillId="4" borderId="5" xfId="1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wrapText="1"/>
    </xf>
    <xf numFmtId="43" fontId="2" fillId="4" borderId="6" xfId="1" applyFont="1" applyFill="1" applyBorder="1" applyAlignment="1">
      <alignment horizontal="center" vertical="center" wrapText="1"/>
    </xf>
    <xf numFmtId="43" fontId="2" fillId="4" borderId="10" xfId="1" applyFont="1" applyFill="1" applyBorder="1" applyAlignment="1">
      <alignment horizontal="center" vertical="center" wrapText="1"/>
    </xf>
    <xf numFmtId="43" fontId="2" fillId="4" borderId="13" xfId="1" applyFont="1" applyFill="1" applyBorder="1" applyAlignment="1">
      <alignment horizontal="center" vertical="center" wrapText="1"/>
    </xf>
    <xf numFmtId="43" fontId="2" fillId="4" borderId="8" xfId="1" applyFont="1" applyFill="1" applyBorder="1" applyAlignment="1">
      <alignment horizontal="center" vertical="center" wrapText="1"/>
    </xf>
    <xf numFmtId="0" fontId="2" fillId="4" borderId="0" xfId="0" applyFont="1" applyFill="1" applyAlignment="1">
      <alignment wrapText="1"/>
    </xf>
    <xf numFmtId="0" fontId="0" fillId="4" borderId="1" xfId="0" applyFill="1" applyBorder="1"/>
    <xf numFmtId="0" fontId="2" fillId="4" borderId="2" xfId="0" applyFont="1" applyFill="1" applyBorder="1" applyAlignment="1">
      <alignment horizontal="center" vertical="center"/>
    </xf>
    <xf numFmtId="43" fontId="2" fillId="4" borderId="2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0" fillId="4" borderId="2" xfId="1" applyNumberFormat="1" applyFont="1" applyFill="1" applyBorder="1" applyAlignment="1">
      <alignment horizontal="center" vertical="center"/>
    </xf>
    <xf numFmtId="43" fontId="0" fillId="4" borderId="2" xfId="1" applyFont="1" applyFill="1" applyBorder="1"/>
    <xf numFmtId="43" fontId="0" fillId="4" borderId="11" xfId="1" applyFont="1" applyFill="1" applyBorder="1"/>
    <xf numFmtId="43" fontId="0" fillId="4" borderId="14" xfId="1" applyFont="1" applyFill="1" applyBorder="1"/>
    <xf numFmtId="0" fontId="0" fillId="4" borderId="0" xfId="0" applyFill="1"/>
    <xf numFmtId="43" fontId="0" fillId="4" borderId="0" xfId="0" applyNumberFormat="1" applyFill="1"/>
    <xf numFmtId="0" fontId="0" fillId="5" borderId="0" xfId="0" applyFill="1"/>
    <xf numFmtId="0" fontId="2" fillId="5" borderId="0" xfId="0" applyFont="1" applyFill="1"/>
    <xf numFmtId="43" fontId="0" fillId="5" borderId="0" xfId="1" applyFont="1" applyFill="1"/>
    <xf numFmtId="43" fontId="2" fillId="5" borderId="0" xfId="1" applyFont="1" applyFill="1"/>
    <xf numFmtId="43" fontId="2" fillId="3" borderId="15" xfId="1" applyFont="1" applyFill="1" applyBorder="1" applyAlignment="1">
      <alignment horizontal="center" vertical="center" wrapText="1"/>
    </xf>
    <xf numFmtId="43" fontId="2" fillId="3" borderId="16" xfId="1" applyFont="1" applyFill="1" applyBorder="1" applyAlignment="1">
      <alignment horizontal="center" vertical="center" wrapText="1"/>
    </xf>
    <xf numFmtId="43" fontId="2" fillId="6" borderId="15" xfId="1" applyFont="1" applyFill="1" applyBorder="1" applyAlignment="1">
      <alignment horizontal="center" vertical="center" wrapText="1"/>
    </xf>
    <xf numFmtId="43" fontId="2" fillId="6" borderId="16" xfId="1" applyFont="1" applyFill="1" applyBorder="1" applyAlignment="1">
      <alignment horizontal="center" vertical="center" wrapText="1"/>
    </xf>
    <xf numFmtId="43" fontId="2" fillId="6" borderId="17" xfId="1" applyFont="1" applyFill="1" applyBorder="1"/>
    <xf numFmtId="43" fontId="2" fillId="6" borderId="3" xfId="1" applyFont="1" applyFill="1" applyBorder="1" applyAlignment="1">
      <alignment horizontal="center" vertical="center" wrapText="1"/>
    </xf>
    <xf numFmtId="43" fontId="2" fillId="6" borderId="6" xfId="1" applyFont="1" applyFill="1" applyBorder="1" applyAlignment="1">
      <alignment horizontal="center" vertical="center" wrapText="1"/>
    </xf>
    <xf numFmtId="43" fontId="2" fillId="6" borderId="2" xfId="1" applyFont="1" applyFill="1" applyBorder="1"/>
    <xf numFmtId="43" fontId="2" fillId="6" borderId="0" xfId="1" applyFont="1" applyFill="1"/>
    <xf numFmtId="43" fontId="2" fillId="7" borderId="4" xfId="1" applyFont="1" applyFill="1" applyBorder="1" applyAlignment="1">
      <alignment horizontal="center" vertical="center" wrapText="1"/>
    </xf>
    <xf numFmtId="43" fontId="2" fillId="7" borderId="7" xfId="1" applyFont="1" applyFill="1" applyBorder="1" applyAlignment="1">
      <alignment horizontal="center" vertical="center" wrapText="1"/>
    </xf>
    <xf numFmtId="43" fontId="0" fillId="7" borderId="0" xfId="1" applyFont="1" applyFill="1"/>
    <xf numFmtId="43" fontId="2" fillId="2" borderId="15" xfId="1" applyFont="1" applyFill="1" applyBorder="1" applyAlignment="1">
      <alignment vertical="center" wrapText="1"/>
    </xf>
    <xf numFmtId="43" fontId="2" fillId="2" borderId="16" xfId="1" applyFont="1" applyFill="1" applyBorder="1" applyAlignment="1">
      <alignment vertical="center" wrapText="1"/>
    </xf>
    <xf numFmtId="43" fontId="2" fillId="2" borderId="17" xfId="1" applyFont="1" applyFill="1" applyBorder="1" applyAlignment="1"/>
    <xf numFmtId="43" fontId="2" fillId="5" borderId="0" xfId="1" applyFont="1" applyFill="1" applyAlignment="1"/>
    <xf numFmtId="43" fontId="2" fillId="4" borderId="18" xfId="1" applyFont="1" applyFill="1" applyBorder="1" applyAlignment="1">
      <alignment horizontal="center" vertical="center" wrapText="1"/>
    </xf>
    <xf numFmtId="43" fontId="2" fillId="4" borderId="19" xfId="1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wrapText="1"/>
    </xf>
    <xf numFmtId="0" fontId="2" fillId="4" borderId="19" xfId="0" applyFont="1" applyFill="1" applyBorder="1" applyAlignment="1">
      <alignment horizont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wrapText="1"/>
    </xf>
    <xf numFmtId="0" fontId="2" fillId="7" borderId="19" xfId="0" applyFont="1" applyFill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6"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400050</xdr:colOff>
          <xdr:row>0</xdr:row>
          <xdr:rowOff>28575</xdr:rowOff>
        </xdr:from>
        <xdr:to>
          <xdr:col>37</xdr:col>
          <xdr:colOff>180975</xdr:colOff>
          <xdr:row>1</xdr:row>
          <xdr:rowOff>209550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52"/>
  <sheetViews>
    <sheetView tabSelected="1" topLeftCell="U1" workbookViewId="0">
      <pane ySplit="2" topLeftCell="A3" activePane="bottomLeft" state="frozen"/>
      <selection pane="bottomLeft" activeCell="AL7" sqref="AL7"/>
    </sheetView>
  </sheetViews>
  <sheetFormatPr defaultRowHeight="15" x14ac:dyDescent="0.25"/>
  <cols>
    <col min="1" max="1" width="16.7109375" style="23" bestFit="1" customWidth="1"/>
    <col min="2" max="2" width="9.28515625" style="24" bestFit="1" customWidth="1"/>
    <col min="3" max="6" width="9.28515625" style="24" customWidth="1"/>
    <col min="7" max="7" width="8.5703125" style="25" bestFit="1" customWidth="1"/>
    <col min="8" max="9" width="8.5703125" style="25" hidden="1" customWidth="1"/>
    <col min="10" max="10" width="8.5703125" style="25" customWidth="1"/>
    <col min="11" max="11" width="11.85546875" style="25" customWidth="1"/>
    <col min="12" max="12" width="10.5703125" style="26" bestFit="1" customWidth="1"/>
    <col min="13" max="13" width="10.7109375" style="25" bestFit="1" customWidth="1"/>
    <col min="14" max="14" width="10.7109375" style="26" bestFit="1" customWidth="1"/>
    <col min="15" max="15" width="10.7109375" style="25" bestFit="1" customWidth="1"/>
    <col min="16" max="16" width="10.5703125" style="25" bestFit="1" customWidth="1"/>
    <col min="17" max="17" width="10.5703125" style="26" bestFit="1" customWidth="1"/>
    <col min="18" max="19" width="10.5703125" style="25" bestFit="1" customWidth="1"/>
    <col min="20" max="20" width="10.5703125" style="26" bestFit="1" customWidth="1"/>
    <col min="21" max="22" width="10.5703125" style="25" bestFit="1" customWidth="1"/>
    <col min="23" max="23" width="2.140625" style="38" customWidth="1"/>
    <col min="24" max="24" width="10.5703125" style="35" bestFit="1" customWidth="1"/>
    <col min="25" max="25" width="10.5703125" style="25" bestFit="1" customWidth="1"/>
    <col min="26" max="26" width="10.5703125" style="35" bestFit="1" customWidth="1"/>
    <col min="27" max="28" width="10.5703125" style="25" bestFit="1" customWidth="1"/>
    <col min="29" max="29" width="10.5703125" style="35" bestFit="1" customWidth="1"/>
    <col min="30" max="31" width="10.5703125" style="25" bestFit="1" customWidth="1"/>
    <col min="32" max="32" width="10.5703125" style="42" bestFit="1" customWidth="1"/>
    <col min="33" max="34" width="10.5703125" style="25" bestFit="1" customWidth="1"/>
    <col min="35" max="35" width="1.85546875" style="23" customWidth="1"/>
    <col min="36" max="16384" width="9.140625" style="23"/>
  </cols>
  <sheetData>
    <row r="1" spans="1:37" s="7" customFormat="1" ht="15" customHeight="1" x14ac:dyDescent="0.25">
      <c r="A1" s="47" t="s">
        <v>0</v>
      </c>
      <c r="B1" s="45" t="s">
        <v>11</v>
      </c>
      <c r="C1" s="49" t="s">
        <v>59</v>
      </c>
      <c r="D1" s="45" t="s">
        <v>12</v>
      </c>
      <c r="E1" s="49" t="s">
        <v>60</v>
      </c>
      <c r="F1" s="43" t="s">
        <v>13</v>
      </c>
      <c r="G1" s="43" t="s">
        <v>54</v>
      </c>
      <c r="H1" s="43" t="s">
        <v>55</v>
      </c>
      <c r="I1" s="43" t="s">
        <v>56</v>
      </c>
      <c r="J1" s="43" t="s">
        <v>61</v>
      </c>
      <c r="K1" s="43" t="s">
        <v>58</v>
      </c>
      <c r="L1" s="32">
        <v>86.25</v>
      </c>
      <c r="M1" s="3">
        <v>82.5</v>
      </c>
      <c r="N1" s="32">
        <v>75</v>
      </c>
      <c r="O1" s="3">
        <v>71.25</v>
      </c>
      <c r="P1" s="4">
        <v>63.75</v>
      </c>
      <c r="Q1" s="29">
        <v>45</v>
      </c>
      <c r="R1" s="5">
        <v>26.25</v>
      </c>
      <c r="S1" s="4">
        <v>18.75</v>
      </c>
      <c r="T1" s="27">
        <v>15</v>
      </c>
      <c r="U1" s="5">
        <v>7.5</v>
      </c>
      <c r="V1" s="3">
        <v>3.75</v>
      </c>
      <c r="W1" s="36"/>
      <c r="X1" s="32">
        <v>86.25</v>
      </c>
      <c r="Y1" s="3">
        <v>82.5</v>
      </c>
      <c r="Z1" s="32">
        <v>75</v>
      </c>
      <c r="AA1" s="3">
        <v>71.25</v>
      </c>
      <c r="AB1" s="4">
        <v>63.75</v>
      </c>
      <c r="AC1" s="29">
        <v>45</v>
      </c>
      <c r="AD1" s="5">
        <v>26.25</v>
      </c>
      <c r="AE1" s="4">
        <v>18.75</v>
      </c>
      <c r="AF1" s="39">
        <v>15</v>
      </c>
      <c r="AG1" s="5">
        <v>7.5</v>
      </c>
      <c r="AH1" s="6">
        <v>3.75</v>
      </c>
    </row>
    <row r="2" spans="1:37" s="12" customFormat="1" ht="26.25" customHeight="1" thickBot="1" x14ac:dyDescent="0.3">
      <c r="A2" s="48"/>
      <c r="B2" s="46"/>
      <c r="C2" s="50"/>
      <c r="D2" s="46"/>
      <c r="E2" s="50"/>
      <c r="F2" s="44"/>
      <c r="G2" s="44"/>
      <c r="H2" s="44"/>
      <c r="I2" s="44"/>
      <c r="J2" s="44"/>
      <c r="K2" s="44"/>
      <c r="L2" s="33">
        <f>L1/180</f>
        <v>0.47916666666666669</v>
      </c>
      <c r="M2" s="8">
        <f t="shared" ref="M2:V2" si="0">M1/180</f>
        <v>0.45833333333333331</v>
      </c>
      <c r="N2" s="33">
        <f t="shared" si="0"/>
        <v>0.41666666666666669</v>
      </c>
      <c r="O2" s="8">
        <f t="shared" si="0"/>
        <v>0.39583333333333331</v>
      </c>
      <c r="P2" s="9">
        <f t="shared" si="0"/>
        <v>0.35416666666666669</v>
      </c>
      <c r="Q2" s="30">
        <f t="shared" si="0"/>
        <v>0.25</v>
      </c>
      <c r="R2" s="10">
        <f t="shared" si="0"/>
        <v>0.14583333333333334</v>
      </c>
      <c r="S2" s="9">
        <f t="shared" si="0"/>
        <v>0.10416666666666667</v>
      </c>
      <c r="T2" s="28">
        <f t="shared" si="0"/>
        <v>8.3333333333333329E-2</v>
      </c>
      <c r="U2" s="10">
        <f t="shared" si="0"/>
        <v>4.1666666666666664E-2</v>
      </c>
      <c r="V2" s="8">
        <f t="shared" si="0"/>
        <v>2.0833333333333332E-2</v>
      </c>
      <c r="W2" s="37"/>
      <c r="X2" s="33">
        <f t="shared" ref="X2" si="1">X1/180</f>
        <v>0.47916666666666669</v>
      </c>
      <c r="Y2" s="8">
        <f t="shared" ref="Y2" si="2">Y1/180</f>
        <v>0.45833333333333331</v>
      </c>
      <c r="Z2" s="33">
        <f t="shared" ref="Z2" si="3">Z1/180</f>
        <v>0.41666666666666669</v>
      </c>
      <c r="AA2" s="8">
        <f t="shared" ref="AA2" si="4">AA1/180</f>
        <v>0.39583333333333331</v>
      </c>
      <c r="AB2" s="9">
        <f t="shared" ref="AB2" si="5">AB1/180</f>
        <v>0.35416666666666669</v>
      </c>
      <c r="AC2" s="30">
        <f t="shared" ref="AC2" si="6">AC1/180</f>
        <v>0.25</v>
      </c>
      <c r="AD2" s="10">
        <f t="shared" ref="AD2" si="7">AD1/180</f>
        <v>0.14583333333333334</v>
      </c>
      <c r="AE2" s="9">
        <f t="shared" ref="AE2" si="8">AE1/180</f>
        <v>0.10416666666666667</v>
      </c>
      <c r="AF2" s="40">
        <f t="shared" ref="AF2" si="9">AF1/180</f>
        <v>8.3333333333333329E-2</v>
      </c>
      <c r="AG2" s="10">
        <f t="shared" ref="AG2" si="10">AG1/180</f>
        <v>4.1666666666666664E-2</v>
      </c>
      <c r="AH2" s="11">
        <f t="shared" ref="AH2" si="11">AH1/180</f>
        <v>2.0833333333333332E-2</v>
      </c>
    </row>
    <row r="3" spans="1:37" s="21" customFormat="1" x14ac:dyDescent="0.25">
      <c r="A3" s="13" t="s">
        <v>14</v>
      </c>
      <c r="B3" s="14" t="str">
        <f t="shared" ref="B3:B34" si="12">IF(F3&gt;=T3,"Buy","")</f>
        <v/>
      </c>
      <c r="C3" s="15" t="str">
        <f t="shared" ref="C3:C34" si="13">IF(B3="BUY",F3-T3,"")</f>
        <v/>
      </c>
      <c r="D3" s="14" t="str">
        <f t="shared" ref="D3:D34" si="14">IF(F3&lt;=AF3,"Sell","")</f>
        <v>Sell</v>
      </c>
      <c r="E3" s="14">
        <f t="shared" ref="E3:E34" si="15">IF(D3="Sell",F3-AF3,"")</f>
        <v>-2.5</v>
      </c>
      <c r="F3" s="16">
        <f>VLOOKUP(A3,LiveData!A:E,5,0)</f>
        <v>402.5</v>
      </c>
      <c r="G3" s="17">
        <f>VLOOKUP(A3,LiveData!A:E,2,0)</f>
        <v>405.95</v>
      </c>
      <c r="H3" s="17">
        <f>VLOOKUP(A3,LiveData!A:E,3,0)</f>
        <v>407</v>
      </c>
      <c r="I3" s="17">
        <f>VLOOKUP(A3,LiveData!A:E,4,0)</f>
        <v>400.7</v>
      </c>
      <c r="J3" s="17">
        <f>VLOOKUP(A3,LiveData!A:F,6,0)</f>
        <v>43.55</v>
      </c>
      <c r="K3" s="17">
        <f t="shared" ref="K3:K34" si="16">G3</f>
        <v>405.95</v>
      </c>
      <c r="L3" s="34">
        <f>MROUND((POWER(SQRT(K3*10)+$L$2,2))/10,0.25)</f>
        <v>412</v>
      </c>
      <c r="M3" s="18">
        <f>MROUND((POWER(SQRT(K3*10)+$M$2,2))/10,0.25)</f>
        <v>411.75</v>
      </c>
      <c r="N3" s="34">
        <f>MROUND((POWER(SQRT(K3*10)+$N$2,2))/10,0.25)</f>
        <v>411.25</v>
      </c>
      <c r="O3" s="18">
        <f>MROUND((POWER(SQRT(K3*10)+$O$2,2))/10,0.25)</f>
        <v>411</v>
      </c>
      <c r="P3" s="19">
        <f>MROUND((POWER(SQRT(K3*10)+$P$2,2))/10,0.25)</f>
        <v>410.5</v>
      </c>
      <c r="Q3" s="31">
        <f>MROUND((POWER(SQRT(K3*10)+$Q$2,2))/10,0.25)</f>
        <v>409.25</v>
      </c>
      <c r="R3" s="20">
        <f>MROUND((POWER(SQRT(K3*10)+$R$2,2))/10,0.25)</f>
        <v>407.75</v>
      </c>
      <c r="S3" s="19">
        <f>MROUND((POWER(SQRT(K3*10)+$S$2,2))/10,0.25)</f>
        <v>407.25</v>
      </c>
      <c r="T3" s="1">
        <f>MROUND((POWER(SQRT(K3*10)+$T$2,2))/10,0.25)</f>
        <v>407</v>
      </c>
      <c r="U3" s="20">
        <f>MROUND((POWER(SQRT(K3*10)+$U$2,2))/10,0.25)</f>
        <v>406.5</v>
      </c>
      <c r="V3" s="18">
        <f>MROUND((POWER(SQRT(K3*10)+$V$2,2))/10,0.25)</f>
        <v>406.25</v>
      </c>
      <c r="W3" s="38"/>
      <c r="X3" s="34">
        <f>MROUND((POWER(SQRT(K3*10)-$X$2,2))/10,0.25)</f>
        <v>399.75</v>
      </c>
      <c r="Y3" s="18">
        <f>MROUND((POWER(SQRT(K3*10)-$Y$2,2))/10,0.25)</f>
        <v>400.25</v>
      </c>
      <c r="Z3" s="34">
        <f>MROUND((POWER(SQRT(K3*10)-$Z$2,2))/10,0.25)</f>
        <v>400.75</v>
      </c>
      <c r="AA3" s="18">
        <f>MROUND((POWER(SQRT(K3*10)-$AA$2,2))/10,0.25)</f>
        <v>401</v>
      </c>
      <c r="AB3" s="19">
        <f>MROUND((POWER(SQRT(K3*10)-$AB$2,2))/10,0.25)</f>
        <v>401.5</v>
      </c>
      <c r="AC3" s="31">
        <f>MROUND((POWER(SQRT(K3*10)-$AC$2,2))/10,0.25)</f>
        <v>402.75</v>
      </c>
      <c r="AD3" s="20">
        <f>MROUND((POWER(SQRT(K3*10)-$AD$2,2))/10,0.25)</f>
        <v>404</v>
      </c>
      <c r="AE3" s="19">
        <f>MROUND((POWER(SQRT(K3*10)-$AE$2,2))/10,0.25)</f>
        <v>404.5</v>
      </c>
      <c r="AF3" s="41">
        <f>MROUND((POWER(SQRT(K3*10)-$AF$2,2))/10,0.25)</f>
        <v>405</v>
      </c>
      <c r="AG3" s="20">
        <f>MROUND((POWER(SQRT(K3*10)-$AG$2,2))/10,0.25)</f>
        <v>405.5</v>
      </c>
      <c r="AH3" s="18">
        <f>MROUND((POWER(SQRT(K3*10)-$AH$2,2))/10,0.25)</f>
        <v>405.75</v>
      </c>
      <c r="AK3" s="22"/>
    </row>
    <row r="4" spans="1:37" s="21" customFormat="1" x14ac:dyDescent="0.25">
      <c r="A4" s="13" t="s">
        <v>15</v>
      </c>
      <c r="B4" s="14" t="str">
        <f t="shared" si="12"/>
        <v/>
      </c>
      <c r="C4" s="15" t="str">
        <f t="shared" si="13"/>
        <v/>
      </c>
      <c r="D4" s="14" t="str">
        <f t="shared" si="14"/>
        <v>Sell</v>
      </c>
      <c r="E4" s="14">
        <f t="shared" si="15"/>
        <v>-1.8500000000000227</v>
      </c>
      <c r="F4" s="16">
        <f>VLOOKUP(A4,LiveData!A:E,5,0)</f>
        <v>270.89999999999998</v>
      </c>
      <c r="G4" s="17">
        <f>VLOOKUP(A4,LiveData!A:E,2,0)</f>
        <v>273.5</v>
      </c>
      <c r="H4" s="17">
        <f>VLOOKUP(A4,LiveData!A:E,3,0)</f>
        <v>273.75</v>
      </c>
      <c r="I4" s="17">
        <f>VLOOKUP(A4,LiveData!A:E,4,0)</f>
        <v>268.39999999999998</v>
      </c>
      <c r="J4" s="17">
        <f>VLOOKUP(A4,LiveData!A:F,6,0)</f>
        <v>16.53</v>
      </c>
      <c r="K4" s="17">
        <f t="shared" si="16"/>
        <v>273.5</v>
      </c>
      <c r="L4" s="34">
        <f>MROUND((POWER(SQRT(K4*10)+$L$2,2))/10,0.25)</f>
        <v>278.5</v>
      </c>
      <c r="M4" s="18">
        <f>MROUND((POWER(SQRT(K4*10)+$M$2,2))/10,0.25)</f>
        <v>278.25</v>
      </c>
      <c r="N4" s="34">
        <f>MROUND((POWER(SQRT(K4*10)+$N$2,2))/10,0.25)</f>
        <v>278</v>
      </c>
      <c r="O4" s="18">
        <f>MROUND((POWER(SQRT(K4*10)+$O$2,2))/10,0.25)</f>
        <v>277.75</v>
      </c>
      <c r="P4" s="19">
        <f>MROUND((POWER(SQRT(K4*10)+$P$2,2))/10,0.25)</f>
        <v>277.25</v>
      </c>
      <c r="Q4" s="31">
        <f>MROUND((POWER(SQRT(K4*10)+$Q$2,2))/10,0.25)</f>
        <v>276</v>
      </c>
      <c r="R4" s="20">
        <f>MROUND((POWER(SQRT(K4*10)+$R$2,2))/10,0.25)</f>
        <v>275</v>
      </c>
      <c r="S4" s="19">
        <f>MROUND((POWER(SQRT(K4*10)+$S$2,2))/10,0.25)</f>
        <v>274.5</v>
      </c>
      <c r="T4" s="1">
        <f>MROUND((POWER(SQRT(K4*10)+$T$2,2))/10,0.25)</f>
        <v>274.25</v>
      </c>
      <c r="U4" s="20">
        <f>MROUND((POWER(SQRT(K4*10)+$U$2,2))/10,0.25)</f>
        <v>274</v>
      </c>
      <c r="V4" s="18">
        <f>MROUND((POWER(SQRT(K4*10)+$V$2,2))/10,0.25)</f>
        <v>273.75</v>
      </c>
      <c r="W4" s="38"/>
      <c r="X4" s="34">
        <f>MROUND((POWER(SQRT(K4*10)-$X$2,2))/10,0.25)</f>
        <v>268.5</v>
      </c>
      <c r="Y4" s="18">
        <f>MROUND((POWER(SQRT(K4*10)-$Y$2,2))/10,0.25)</f>
        <v>268.75</v>
      </c>
      <c r="Z4" s="34">
        <f>MROUND((POWER(SQRT(K4*10)-$Z$2,2))/10,0.25)</f>
        <v>269.25</v>
      </c>
      <c r="AA4" s="18">
        <f>MROUND((POWER(SQRT(K4*10)-$AA$2,2))/10,0.25)</f>
        <v>269.5</v>
      </c>
      <c r="AB4" s="19">
        <f>MROUND((POWER(SQRT(K4*10)-$AB$2,2))/10,0.25)</f>
        <v>269.75</v>
      </c>
      <c r="AC4" s="31">
        <f>MROUND((POWER(SQRT(K4*10)-$AC$2,2))/10,0.25)</f>
        <v>271</v>
      </c>
      <c r="AD4" s="20">
        <f>MROUND((POWER(SQRT(K4*10)-$AD$2,2))/10,0.25)</f>
        <v>272</v>
      </c>
      <c r="AE4" s="19">
        <f>MROUND((POWER(SQRT(K4*10)-$AE$2,2))/10,0.25)</f>
        <v>272.5</v>
      </c>
      <c r="AF4" s="41">
        <f>MROUND((POWER(SQRT(K4*10)-$AF$2,2))/10,0.25)</f>
        <v>272.75</v>
      </c>
      <c r="AG4" s="20">
        <f>MROUND((POWER(SQRT(K4*10)-$AG$2,2))/10,0.25)</f>
        <v>273</v>
      </c>
      <c r="AH4" s="18">
        <f>MROUND((POWER(SQRT(K4*10)-$AH$2,2))/10,0.25)</f>
        <v>273.25</v>
      </c>
      <c r="AK4" s="22"/>
    </row>
    <row r="5" spans="1:37" s="21" customFormat="1" x14ac:dyDescent="0.25">
      <c r="A5" s="13" t="s">
        <v>16</v>
      </c>
      <c r="B5" s="14" t="str">
        <f t="shared" si="12"/>
        <v/>
      </c>
      <c r="C5" s="15" t="str">
        <f t="shared" si="13"/>
        <v/>
      </c>
      <c r="D5" s="14" t="str">
        <f t="shared" si="14"/>
        <v/>
      </c>
      <c r="E5" s="14" t="str">
        <f t="shared" si="15"/>
        <v/>
      </c>
      <c r="F5" s="16">
        <f>VLOOKUP(A5,LiveData!A:E,5,0)</f>
        <v>1146.2</v>
      </c>
      <c r="G5" s="17">
        <f>VLOOKUP(A5,LiveData!A:E,2,0)</f>
        <v>1150</v>
      </c>
      <c r="H5" s="17">
        <f>VLOOKUP(A5,LiveData!A:E,3,0)</f>
        <v>1157</v>
      </c>
      <c r="I5" s="17">
        <f>VLOOKUP(A5,LiveData!A:E,4,0)</f>
        <v>1142</v>
      </c>
      <c r="J5" s="17">
        <f>VLOOKUP(A5,LiveData!A:F,6,0)</f>
        <v>6.11</v>
      </c>
      <c r="K5" s="17">
        <f t="shared" si="16"/>
        <v>1150</v>
      </c>
      <c r="L5" s="34">
        <f>MROUND(POWER(SQRT(K5)+$L$2,2),0.25)</f>
        <v>1182.75</v>
      </c>
      <c r="M5" s="18">
        <f>MROUND(POWER(SQRT(K5)+$M$2,2),0.25)</f>
        <v>1181.25</v>
      </c>
      <c r="N5" s="34">
        <f>MROUND(POWER(SQRT(K5)+$N$2,2),0.25)</f>
        <v>1178.5</v>
      </c>
      <c r="O5" s="18">
        <f>MROUND(POWER(SQRT(K5)+$O$2,2),0.25)</f>
        <v>1177</v>
      </c>
      <c r="P5" s="19">
        <f>MROUND(POWER(SQRT(K5)+$P$2,2),0.25)</f>
        <v>1174.25</v>
      </c>
      <c r="Q5" s="31">
        <f>MROUND(POWER(SQRT(K5)+$Q$2,2),0.25)</f>
        <v>1167</v>
      </c>
      <c r="R5" s="20">
        <f>MROUND(POWER(SQRT(K5)+$R$2,2),0.25)</f>
        <v>1160</v>
      </c>
      <c r="S5" s="19">
        <f>MROUND(POWER(SQRT(K5)+$S$2,2),0.25)</f>
        <v>1157</v>
      </c>
      <c r="T5" s="1">
        <f>MROUND(POWER(SQRT(K5)+$T$2,2),0.25)</f>
        <v>1155.75</v>
      </c>
      <c r="U5" s="20">
        <f>MROUND(POWER(SQRT(K5)+$U$2,2),0.25)</f>
        <v>1152.75</v>
      </c>
      <c r="V5" s="18">
        <f>MROUND(POWER(SQRT(K5)+$V$2,2),0.25)</f>
        <v>1151.5</v>
      </c>
      <c r="W5" s="38"/>
      <c r="X5" s="34">
        <f>MROUND(POWER(SQRT(K5)-$X$2,2),0.25)</f>
        <v>1117.75</v>
      </c>
      <c r="Y5" s="18">
        <f>MROUND(POWER(SQRT(K5)-$Y$2,2),0.25)</f>
        <v>1119</v>
      </c>
      <c r="Z5" s="34">
        <f>MROUND(POWER(SQRT(K5)-$Z$2,2),0.25)</f>
        <v>1122</v>
      </c>
      <c r="AA5" s="18">
        <f>MROUND(POWER(SQRT(K5)-$AA$2,2),0.25)</f>
        <v>1123.25</v>
      </c>
      <c r="AB5" s="19">
        <f>MROUND(POWER(SQRT(K5)-$AB$2,2),0.25)</f>
        <v>1126</v>
      </c>
      <c r="AC5" s="31">
        <f>MROUND(POWER(SQRT(K5)-$AC$2,2),0.25)</f>
        <v>1133</v>
      </c>
      <c r="AD5" s="20">
        <f>MROUND(POWER(SQRT(K5)-$AD$2,2),0.25)</f>
        <v>1140.25</v>
      </c>
      <c r="AE5" s="19">
        <f>MROUND(POWER(SQRT(K5)-$AE$2,2),0.25)</f>
        <v>1143</v>
      </c>
      <c r="AF5" s="41">
        <f>MROUND(POWER(SQRT(K5)-$AF$2,2),0.25)</f>
        <v>1144.25</v>
      </c>
      <c r="AG5" s="20">
        <f>MROUND(POWER(SQRT(K5)-$AG$2,2),0.25)</f>
        <v>1147.25</v>
      </c>
      <c r="AH5" s="18">
        <f>MROUND(POWER(SQRT(K5)-$AH$2,2),0.25)</f>
        <v>1148.5</v>
      </c>
      <c r="AK5" s="22"/>
    </row>
    <row r="6" spans="1:37" s="21" customFormat="1" x14ac:dyDescent="0.25">
      <c r="A6" s="13" t="s">
        <v>17</v>
      </c>
      <c r="B6" s="14" t="str">
        <f t="shared" si="12"/>
        <v>Buy</v>
      </c>
      <c r="C6" s="15">
        <f t="shared" si="13"/>
        <v>4.5</v>
      </c>
      <c r="D6" s="14" t="str">
        <f t="shared" si="14"/>
        <v/>
      </c>
      <c r="E6" s="14" t="str">
        <f t="shared" si="15"/>
        <v/>
      </c>
      <c r="F6" s="16">
        <f>VLOOKUP(A6,LiveData!A:E,5,0)</f>
        <v>691</v>
      </c>
      <c r="G6" s="17">
        <f>VLOOKUP(A6,LiveData!A:E,2,0)</f>
        <v>685.1</v>
      </c>
      <c r="H6" s="17">
        <f>VLOOKUP(A6,LiveData!A:E,3,0)</f>
        <v>701.4</v>
      </c>
      <c r="I6" s="17">
        <f>VLOOKUP(A6,LiveData!A:E,4,0)</f>
        <v>682.95</v>
      </c>
      <c r="J6" s="17">
        <f>VLOOKUP(A6,LiveData!A:F,6,0)</f>
        <v>43.81</v>
      </c>
      <c r="K6" s="17">
        <f t="shared" si="16"/>
        <v>685.1</v>
      </c>
      <c r="L6" s="34">
        <f>MROUND((POWER(SQRT(K6*10)+$L$2,2))/10,0.25)</f>
        <v>693</v>
      </c>
      <c r="M6" s="18">
        <f>MROUND((POWER(SQRT(K6*10)+$M$2,2))/10,0.25)</f>
        <v>692.75</v>
      </c>
      <c r="N6" s="34">
        <f>MROUND((POWER(SQRT(K6*10)+$N$2,2))/10,0.25)</f>
        <v>692</v>
      </c>
      <c r="O6" s="18">
        <f>MROUND((POWER(SQRT(K6*10)+$O$2,2))/10,0.25)</f>
        <v>691.75</v>
      </c>
      <c r="P6" s="19">
        <f>MROUND((POWER(SQRT(K6*10)+$P$2,2))/10,0.25)</f>
        <v>691</v>
      </c>
      <c r="Q6" s="31">
        <f>MROUND((POWER(SQRT(K6*10)+$Q$2,2))/10,0.25)</f>
        <v>689.25</v>
      </c>
      <c r="R6" s="20">
        <f>MROUND((POWER(SQRT(K6*10)+$R$2,2))/10,0.25)</f>
        <v>687.5</v>
      </c>
      <c r="S6" s="19">
        <f>MROUND((POWER(SQRT(K6*10)+$S$2,2))/10,0.25)</f>
        <v>686.75</v>
      </c>
      <c r="T6" s="1">
        <f>MROUND((POWER(SQRT(K6*10)+$T$2,2))/10,0.25)</f>
        <v>686.5</v>
      </c>
      <c r="U6" s="20">
        <f>MROUND((POWER(SQRT(K6*10)+$U$2,2))/10,0.25)</f>
        <v>685.75</v>
      </c>
      <c r="V6" s="18">
        <f>MROUND((POWER(SQRT(K6*10)+$V$2,2))/10,0.25)</f>
        <v>685.5</v>
      </c>
      <c r="W6" s="38"/>
      <c r="X6" s="34">
        <f>MROUND((POWER(SQRT(K6*10)-$X$2,2))/10,0.25)</f>
        <v>677.25</v>
      </c>
      <c r="Y6" s="18">
        <f>MROUND((POWER(SQRT(K6*10)-$Y$2,2))/10,0.25)</f>
        <v>677.5</v>
      </c>
      <c r="Z6" s="34">
        <f>MROUND((POWER(SQRT(K6*10)-$Z$2,2))/10,0.25)</f>
        <v>678.25</v>
      </c>
      <c r="AA6" s="18">
        <f>MROUND((POWER(SQRT(K6*10)-$AA$2,2))/10,0.25)</f>
        <v>678.5</v>
      </c>
      <c r="AB6" s="19">
        <f>MROUND((POWER(SQRT(K6*10)-$AB$2,2))/10,0.25)</f>
        <v>679.25</v>
      </c>
      <c r="AC6" s="31">
        <f>MROUND((POWER(SQRT(K6*10)-$AC$2,2))/10,0.25)</f>
        <v>681</v>
      </c>
      <c r="AD6" s="20">
        <f>MROUND((POWER(SQRT(K6*10)-$AD$2,2))/10,0.25)</f>
        <v>682.75</v>
      </c>
      <c r="AE6" s="19">
        <f>MROUND((POWER(SQRT(K6*10)-$AE$2,2))/10,0.25)</f>
        <v>683.5</v>
      </c>
      <c r="AF6" s="41">
        <f>MROUND((POWER(SQRT(K6*10)-$AF$2,2))/10,0.25)</f>
        <v>683.75</v>
      </c>
      <c r="AG6" s="20">
        <f>MROUND((POWER(SQRT(K6*10)-$AG$2,2))/10,0.25)</f>
        <v>684.5</v>
      </c>
      <c r="AH6" s="18">
        <f>MROUND((POWER(SQRT(K6*10)-$AH$2,2))/10,0.25)</f>
        <v>684.75</v>
      </c>
      <c r="AK6" s="22"/>
    </row>
    <row r="7" spans="1:37" s="21" customFormat="1" x14ac:dyDescent="0.25">
      <c r="A7" s="13" t="s">
        <v>18</v>
      </c>
      <c r="B7" s="14" t="str">
        <f t="shared" si="12"/>
        <v/>
      </c>
      <c r="C7" s="15" t="str">
        <f t="shared" si="13"/>
        <v/>
      </c>
      <c r="D7" s="14" t="str">
        <f t="shared" si="14"/>
        <v/>
      </c>
      <c r="E7" s="14" t="str">
        <f t="shared" si="15"/>
        <v/>
      </c>
      <c r="F7" s="16">
        <f>VLOOKUP(A7,LiveData!A:E,5,0)</f>
        <v>553.20000000000005</v>
      </c>
      <c r="G7" s="17">
        <f>VLOOKUP(A7,LiveData!A:E,2,0)</f>
        <v>554</v>
      </c>
      <c r="H7" s="17">
        <f>VLOOKUP(A7,LiveData!A:E,3,0)</f>
        <v>560.65</v>
      </c>
      <c r="I7" s="17">
        <f>VLOOKUP(A7,LiveData!A:E,4,0)</f>
        <v>551</v>
      </c>
      <c r="J7" s="17">
        <f>VLOOKUP(A7,LiveData!A:F,6,0)</f>
        <v>41.63</v>
      </c>
      <c r="K7" s="17">
        <f t="shared" si="16"/>
        <v>554</v>
      </c>
      <c r="L7" s="34">
        <f>MROUND((POWER(SQRT(K7*10)+$L$2,2))/10,0.25)</f>
        <v>561.25</v>
      </c>
      <c r="M7" s="18">
        <f>MROUND((POWER(SQRT(K7*10)+$M$2,2))/10,0.25)</f>
        <v>560.75</v>
      </c>
      <c r="N7" s="34">
        <f>MROUND((POWER(SQRT(K7*10)+$N$2,2))/10,0.25)</f>
        <v>560.25</v>
      </c>
      <c r="O7" s="18">
        <f>MROUND((POWER(SQRT(K7*10)+$O$2,2))/10,0.25)</f>
        <v>560</v>
      </c>
      <c r="P7" s="19">
        <f>MROUND((POWER(SQRT(K7*10)+$P$2,2))/10,0.25)</f>
        <v>559.25</v>
      </c>
      <c r="Q7" s="31">
        <f>MROUND((POWER(SQRT(K7*10)+$Q$2,2))/10,0.25)</f>
        <v>557.75</v>
      </c>
      <c r="R7" s="20">
        <f>MROUND((POWER(SQRT(K7*10)+$R$2,2))/10,0.25)</f>
        <v>556.25</v>
      </c>
      <c r="S7" s="19">
        <f>MROUND((POWER(SQRT(K7*10)+$S$2,2))/10,0.25)</f>
        <v>555.5</v>
      </c>
      <c r="T7" s="1">
        <f>MROUND((POWER(SQRT(K7*10)+$T$2,2))/10,0.25)</f>
        <v>555.25</v>
      </c>
      <c r="U7" s="20">
        <f>MROUND((POWER(SQRT(K7*10)+$U$2,2))/10,0.25)</f>
        <v>554.5</v>
      </c>
      <c r="V7" s="18">
        <f>MROUND((POWER(SQRT(K7*10)+$V$2,2))/10,0.25)</f>
        <v>554.25</v>
      </c>
      <c r="W7" s="38"/>
      <c r="X7" s="34">
        <f>MROUND((POWER(SQRT(K7*10)-$X$2,2))/10,0.25)</f>
        <v>547</v>
      </c>
      <c r="Y7" s="18">
        <f>MROUND((POWER(SQRT(K7*10)-$Y$2,2))/10,0.25)</f>
        <v>547.25</v>
      </c>
      <c r="Z7" s="34">
        <f>MROUND((POWER(SQRT(K7*10)-$Z$2,2))/10,0.25)</f>
        <v>547.75</v>
      </c>
      <c r="AA7" s="18">
        <f>MROUND((POWER(SQRT(K7*10)-$AA$2,2))/10,0.25)</f>
        <v>548</v>
      </c>
      <c r="AB7" s="19">
        <f>MROUND((POWER(SQRT(K7*10)-$AB$2,2))/10,0.25)</f>
        <v>548.75</v>
      </c>
      <c r="AC7" s="31">
        <f>MROUND((POWER(SQRT(K7*10)-$AC$2,2))/10,0.25)</f>
        <v>550.25</v>
      </c>
      <c r="AD7" s="20">
        <f>MROUND((POWER(SQRT(K7*10)-$AD$2,2))/10,0.25)</f>
        <v>551.75</v>
      </c>
      <c r="AE7" s="19">
        <f>MROUND((POWER(SQRT(K7*10)-$AE$2,2))/10,0.25)</f>
        <v>552.5</v>
      </c>
      <c r="AF7" s="41">
        <f>MROUND((POWER(SQRT(K7*10)-$AF$2,2))/10,0.25)</f>
        <v>552.75</v>
      </c>
      <c r="AG7" s="20">
        <f>MROUND((POWER(SQRT(K7*10)-$AG$2,2))/10,0.25)</f>
        <v>553.5</v>
      </c>
      <c r="AH7" s="18">
        <f>MROUND((POWER(SQRT(K7*10)-$AH$2,2))/10,0.25)</f>
        <v>553.75</v>
      </c>
      <c r="AK7" s="22"/>
    </row>
    <row r="8" spans="1:37" s="21" customFormat="1" x14ac:dyDescent="0.25">
      <c r="A8" s="13" t="s">
        <v>19</v>
      </c>
      <c r="B8" s="14" t="str">
        <f t="shared" si="12"/>
        <v/>
      </c>
      <c r="C8" s="15" t="str">
        <f t="shared" si="13"/>
        <v/>
      </c>
      <c r="D8" s="14" t="str">
        <f t="shared" si="14"/>
        <v>Sell</v>
      </c>
      <c r="E8" s="14">
        <f t="shared" si="15"/>
        <v>-43.150000000000091</v>
      </c>
      <c r="F8" s="16">
        <f>VLOOKUP(A8,LiveData!A:E,5,0)</f>
        <v>3332.1</v>
      </c>
      <c r="G8" s="17">
        <f>VLOOKUP(A8,LiveData!A:E,2,0)</f>
        <v>3385</v>
      </c>
      <c r="H8" s="17">
        <f>VLOOKUP(A8,LiveData!A:E,3,0)</f>
        <v>3385</v>
      </c>
      <c r="I8" s="17">
        <f>VLOOKUP(A8,LiveData!A:E,4,0)</f>
        <v>3320</v>
      </c>
      <c r="J8" s="17">
        <f>VLOOKUP(A8,LiveData!A:F,6,0)</f>
        <v>2.0699999999999998</v>
      </c>
      <c r="K8" s="17">
        <f t="shared" si="16"/>
        <v>3385</v>
      </c>
      <c r="L8" s="34">
        <f>MROUND(POWER(SQRT(K8)+$L$2,2),0.25)</f>
        <v>3441</v>
      </c>
      <c r="M8" s="18">
        <f>MROUND(POWER(SQRT(K8)+$M$2,2),0.25)</f>
        <v>3438.5</v>
      </c>
      <c r="N8" s="34">
        <f>MROUND(POWER(SQRT(K8)+$N$2,2),0.25)</f>
        <v>3433.75</v>
      </c>
      <c r="O8" s="18">
        <f>MROUND(POWER(SQRT(K8)+$O$2,2),0.25)</f>
        <v>3431.25</v>
      </c>
      <c r="P8" s="19">
        <f>MROUND(POWER(SQRT(K8)+$P$2,2),0.25)</f>
        <v>3426.25</v>
      </c>
      <c r="Q8" s="31">
        <f>MROUND(POWER(SQRT(K8)+$Q$2,2),0.25)</f>
        <v>3414.25</v>
      </c>
      <c r="R8" s="20">
        <f>MROUND(POWER(SQRT(K8)+$R$2,2),0.25)</f>
        <v>3402</v>
      </c>
      <c r="S8" s="19">
        <f>MROUND(POWER(SQRT(K8)+$S$2,2),0.25)</f>
        <v>3397.25</v>
      </c>
      <c r="T8" s="1">
        <f>MROUND(POWER(SQRT(K8)+$T$2,2),0.25)</f>
        <v>3394.75</v>
      </c>
      <c r="U8" s="20">
        <f>MROUND(POWER(SQRT(K8)+$U$2,2),0.25)</f>
        <v>3389.75</v>
      </c>
      <c r="V8" s="18">
        <f>MROUND(POWER(SQRT(K8)+$V$2,2),0.25)</f>
        <v>3387.5</v>
      </c>
      <c r="W8" s="38"/>
      <c r="X8" s="34">
        <f>MROUND(POWER(SQRT(K8)-$X$2,2),0.25)</f>
        <v>3329.5</v>
      </c>
      <c r="Y8" s="18">
        <f>MROUND(POWER(SQRT(K8)-$Y$2,2),0.25)</f>
        <v>3332</v>
      </c>
      <c r="Z8" s="34">
        <f>MROUND(POWER(SQRT(K8)-$Z$2,2),0.25)</f>
        <v>3336.75</v>
      </c>
      <c r="AA8" s="18">
        <f>MROUND(POWER(SQRT(K8)-$AA$2,2),0.25)</f>
        <v>3339</v>
      </c>
      <c r="AB8" s="19">
        <f>MROUND(POWER(SQRT(K8)-$AB$2,2),0.25)</f>
        <v>3344</v>
      </c>
      <c r="AC8" s="31">
        <f>MROUND(POWER(SQRT(K8)-$AC$2,2),0.25)</f>
        <v>3356</v>
      </c>
      <c r="AD8" s="20">
        <f>MROUND(POWER(SQRT(K8)-$AD$2,2),0.25)</f>
        <v>3368</v>
      </c>
      <c r="AE8" s="19">
        <f>MROUND(POWER(SQRT(K8)-$AE$2,2),0.25)</f>
        <v>3373</v>
      </c>
      <c r="AF8" s="41">
        <f>MROUND(POWER(SQRT(K8)-$AF$2,2),0.25)</f>
        <v>3375.25</v>
      </c>
      <c r="AG8" s="20">
        <f>MROUND(POWER(SQRT(K8)-$AG$2,2),0.25)</f>
        <v>3380.25</v>
      </c>
      <c r="AH8" s="18">
        <f>MROUND(POWER(SQRT(K8)-$AH$2,2),0.25)</f>
        <v>3382.5</v>
      </c>
      <c r="AK8" s="22"/>
    </row>
    <row r="9" spans="1:37" s="21" customFormat="1" x14ac:dyDescent="0.25">
      <c r="A9" s="13" t="s">
        <v>20</v>
      </c>
      <c r="B9" s="14" t="str">
        <f t="shared" si="12"/>
        <v/>
      </c>
      <c r="C9" s="15" t="str">
        <f t="shared" si="13"/>
        <v/>
      </c>
      <c r="D9" s="14" t="str">
        <f t="shared" si="14"/>
        <v>Sell</v>
      </c>
      <c r="E9" s="14">
        <f t="shared" si="15"/>
        <v>-21.349999999999909</v>
      </c>
      <c r="F9" s="16">
        <f>VLOOKUP(A9,LiveData!A:E,5,0)</f>
        <v>1768.9</v>
      </c>
      <c r="G9" s="17">
        <f>VLOOKUP(A9,LiveData!A:E,2,0)</f>
        <v>1797.2</v>
      </c>
      <c r="H9" s="17">
        <f>VLOOKUP(A9,LiveData!A:E,3,0)</f>
        <v>1797.6</v>
      </c>
      <c r="I9" s="17">
        <f>VLOOKUP(A9,LiveData!A:E,4,0)</f>
        <v>1762</v>
      </c>
      <c r="J9" s="17">
        <f>VLOOKUP(A9,LiveData!A:F,6,0)</f>
        <v>4.5</v>
      </c>
      <c r="K9" s="17">
        <f t="shared" si="16"/>
        <v>1797.2</v>
      </c>
      <c r="L9" s="34">
        <f>MROUND(POWER(SQRT(K9)+$L$2,2),0.25)</f>
        <v>1838</v>
      </c>
      <c r="M9" s="18">
        <f>MROUND(POWER(SQRT(K9)+$M$2,2),0.25)</f>
        <v>1836.25</v>
      </c>
      <c r="N9" s="34">
        <f>MROUND(POWER(SQRT(K9)+$N$2,2),0.25)</f>
        <v>1832.75</v>
      </c>
      <c r="O9" s="18">
        <f>MROUND(POWER(SQRT(K9)+$O$2,2),0.25)</f>
        <v>1831</v>
      </c>
      <c r="P9" s="19">
        <f>MROUND(POWER(SQRT(K9)+$P$2,2),0.25)</f>
        <v>1827.25</v>
      </c>
      <c r="Q9" s="31">
        <f>MROUND(POWER(SQRT(K9)+$Q$2,2),0.25)</f>
        <v>1818.5</v>
      </c>
      <c r="R9" s="20">
        <f>MROUND(POWER(SQRT(K9)+$R$2,2),0.25)</f>
        <v>1809.5</v>
      </c>
      <c r="S9" s="19">
        <f>MROUND(POWER(SQRT(K9)+$S$2,2),0.25)</f>
        <v>1806</v>
      </c>
      <c r="T9" s="1">
        <f>MROUND(POWER(SQRT(K9)+$T$2,2),0.25)</f>
        <v>1804.25</v>
      </c>
      <c r="U9" s="20">
        <f>MROUND(POWER(SQRT(K9)+$U$2,2),0.25)</f>
        <v>1800.75</v>
      </c>
      <c r="V9" s="18">
        <f>MROUND(POWER(SQRT(K9)+$V$2,2),0.25)</f>
        <v>1799</v>
      </c>
      <c r="W9" s="38"/>
      <c r="X9" s="34">
        <f>MROUND(POWER(SQRT(K9)-$X$2,2),0.25)</f>
        <v>1756.75</v>
      </c>
      <c r="Y9" s="18">
        <f>MROUND(POWER(SQRT(K9)-$Y$2,2),0.25)</f>
        <v>1758.5</v>
      </c>
      <c r="Z9" s="34">
        <f>MROUND(POWER(SQRT(K9)-$Z$2,2),0.25)</f>
        <v>1762</v>
      </c>
      <c r="AA9" s="18">
        <f>MROUND(POWER(SQRT(K9)-$AA$2,2),0.25)</f>
        <v>1763.75</v>
      </c>
      <c r="AB9" s="19">
        <f>MROUND(POWER(SQRT(K9)-$AB$2,2),0.25)</f>
        <v>1767.25</v>
      </c>
      <c r="AC9" s="31">
        <f>MROUND(POWER(SQRT(K9)-$AC$2,2),0.25)</f>
        <v>1776</v>
      </c>
      <c r="AD9" s="20">
        <f>MROUND(POWER(SQRT(K9)-$AD$2,2),0.25)</f>
        <v>1784.75</v>
      </c>
      <c r="AE9" s="19">
        <f>MROUND(POWER(SQRT(K9)-$AE$2,2),0.25)</f>
        <v>1788.5</v>
      </c>
      <c r="AF9" s="41">
        <f>MROUND(POWER(SQRT(K9)-$AF$2,2),0.25)</f>
        <v>1790.25</v>
      </c>
      <c r="AG9" s="20">
        <f>MROUND(POWER(SQRT(K9)-$AG$2,2),0.25)</f>
        <v>1793.75</v>
      </c>
      <c r="AH9" s="18">
        <f>MROUND(POWER(SQRT(K9)-$AH$2,2),0.25)</f>
        <v>1795.5</v>
      </c>
      <c r="AK9" s="22"/>
    </row>
    <row r="10" spans="1:37" s="21" customFormat="1" x14ac:dyDescent="0.25">
      <c r="A10" s="13" t="s">
        <v>2</v>
      </c>
      <c r="B10" s="14" t="str">
        <f t="shared" si="12"/>
        <v/>
      </c>
      <c r="C10" s="15" t="str">
        <f t="shared" si="13"/>
        <v/>
      </c>
      <c r="D10" s="14" t="str">
        <f t="shared" si="14"/>
        <v/>
      </c>
      <c r="E10" s="14" t="str">
        <f t="shared" si="15"/>
        <v/>
      </c>
      <c r="F10" s="16">
        <f>VLOOKUP(A10,LiveData!A:E,5,0)</f>
        <v>534</v>
      </c>
      <c r="G10" s="17">
        <f>VLOOKUP(A10,LiveData!A:E,2,0)</f>
        <v>534.95000000000005</v>
      </c>
      <c r="H10" s="17">
        <f>VLOOKUP(A10,LiveData!A:E,3,0)</f>
        <v>541.20000000000005</v>
      </c>
      <c r="I10" s="17">
        <f>VLOOKUP(A10,LiveData!A:E,4,0)</f>
        <v>531.25</v>
      </c>
      <c r="J10" s="17">
        <f>VLOOKUP(A10,LiveData!A:F,6,0)</f>
        <v>17.84</v>
      </c>
      <c r="K10" s="17">
        <f t="shared" si="16"/>
        <v>534.95000000000005</v>
      </c>
      <c r="L10" s="34">
        <f t="shared" ref="L10:L12" si="17">MROUND((POWER(SQRT(K10*10)+$L$2,2))/10,0.25)</f>
        <v>542</v>
      </c>
      <c r="M10" s="18">
        <f t="shared" ref="M10:M12" si="18">MROUND((POWER(SQRT(K10*10)+$M$2,2))/10,0.25)</f>
        <v>541.75</v>
      </c>
      <c r="N10" s="34">
        <f t="shared" ref="N10:N12" si="19">MROUND((POWER(SQRT(K10*10)+$N$2,2))/10,0.25)</f>
        <v>541</v>
      </c>
      <c r="O10" s="18">
        <f t="shared" ref="O10:O12" si="20">MROUND((POWER(SQRT(K10*10)+$O$2,2))/10,0.25)</f>
        <v>540.75</v>
      </c>
      <c r="P10" s="19">
        <f t="shared" ref="P10:P12" si="21">MROUND((POWER(SQRT(K10*10)+$P$2,2))/10,0.25)</f>
        <v>540.25</v>
      </c>
      <c r="Q10" s="31">
        <f t="shared" ref="Q10:Q12" si="22">MROUND((POWER(SQRT(K10*10)+$Q$2,2))/10,0.25)</f>
        <v>538.5</v>
      </c>
      <c r="R10" s="20">
        <f t="shared" ref="R10:R12" si="23">MROUND((POWER(SQRT(K10*10)+$R$2,2))/10,0.25)</f>
        <v>537</v>
      </c>
      <c r="S10" s="19">
        <f t="shared" ref="S10:S12" si="24">MROUND((POWER(SQRT(K10*10)+$S$2,2))/10,0.25)</f>
        <v>536.5</v>
      </c>
      <c r="T10" s="1">
        <f t="shared" ref="T10:T12" si="25">MROUND((POWER(SQRT(K10*10)+$T$2,2))/10,0.25)</f>
        <v>536.25</v>
      </c>
      <c r="U10" s="20">
        <f t="shared" ref="U10:U12" si="26">MROUND((POWER(SQRT(K10*10)+$U$2,2))/10,0.25)</f>
        <v>535.5</v>
      </c>
      <c r="V10" s="18">
        <f t="shared" ref="V10:V12" si="27">MROUND((POWER(SQRT(K10*10)+$V$2,2))/10,0.25)</f>
        <v>535.25</v>
      </c>
      <c r="W10" s="38"/>
      <c r="X10" s="34">
        <f t="shared" ref="X10:X12" si="28">MROUND((POWER(SQRT(K10*10)-$X$2,2))/10,0.25)</f>
        <v>528</v>
      </c>
      <c r="Y10" s="18">
        <f t="shared" ref="Y10:Y12" si="29">MROUND((POWER(SQRT(K10*10)-$Y$2,2))/10,0.25)</f>
        <v>528.25</v>
      </c>
      <c r="Z10" s="34">
        <f t="shared" ref="Z10:Z12" si="30">MROUND((POWER(SQRT(K10*10)-$Z$2,2))/10,0.25)</f>
        <v>528.75</v>
      </c>
      <c r="AA10" s="18">
        <f t="shared" ref="AA10:AA12" si="31">MROUND((POWER(SQRT(K10*10)-$AA$2,2))/10,0.25)</f>
        <v>529.25</v>
      </c>
      <c r="AB10" s="19">
        <f t="shared" ref="AB10:AB12" si="32">MROUND((POWER(SQRT(K10*10)-$AB$2,2))/10,0.25)</f>
        <v>529.75</v>
      </c>
      <c r="AC10" s="31">
        <f t="shared" ref="AC10:AC12" si="33">MROUND((POWER(SQRT(K10*10)-$AC$2,2))/10,0.25)</f>
        <v>531.25</v>
      </c>
      <c r="AD10" s="20">
        <f t="shared" ref="AD10:AD12" si="34">MROUND((POWER(SQRT(K10*10)-$AD$2,2))/10,0.25)</f>
        <v>532.75</v>
      </c>
      <c r="AE10" s="19">
        <f t="shared" ref="AE10:AE12" si="35">MROUND((POWER(SQRT(K10*10)-$AE$2,2))/10,0.25)</f>
        <v>533.5</v>
      </c>
      <c r="AF10" s="41">
        <f t="shared" ref="AF10:AF12" si="36">MROUND((POWER(SQRT(K10*10)-$AF$2,2))/10,0.25)</f>
        <v>533.75</v>
      </c>
      <c r="AG10" s="20">
        <f t="shared" ref="AG10:AG12" si="37">MROUND((POWER(SQRT(K10*10)-$AG$2,2))/10,0.25)</f>
        <v>534.25</v>
      </c>
      <c r="AH10" s="18">
        <f t="shared" ref="AH10:AH12" si="38">MROUND((POWER(SQRT(K10*10)-$AH$2,2))/10,0.25)</f>
        <v>534.75</v>
      </c>
      <c r="AK10" s="22"/>
    </row>
    <row r="11" spans="1:37" s="21" customFormat="1" x14ac:dyDescent="0.25">
      <c r="A11" s="13" t="s">
        <v>21</v>
      </c>
      <c r="B11" s="14" t="str">
        <f t="shared" si="12"/>
        <v/>
      </c>
      <c r="C11" s="15" t="str">
        <f t="shared" si="13"/>
        <v/>
      </c>
      <c r="D11" s="14" t="str">
        <f t="shared" si="14"/>
        <v>Sell</v>
      </c>
      <c r="E11" s="14">
        <f t="shared" si="15"/>
        <v>-10.200000000000045</v>
      </c>
      <c r="F11" s="16">
        <f>VLOOKUP(A11,LiveData!A:E,5,0)</f>
        <v>533.04999999999995</v>
      </c>
      <c r="G11" s="17">
        <f>VLOOKUP(A11,LiveData!A:E,2,0)</f>
        <v>544.5</v>
      </c>
      <c r="H11" s="17">
        <f>VLOOKUP(A11,LiveData!A:E,3,0)</f>
        <v>547.5</v>
      </c>
      <c r="I11" s="17">
        <f>VLOOKUP(A11,LiveData!A:E,4,0)</f>
        <v>530.6</v>
      </c>
      <c r="J11" s="17">
        <f>VLOOKUP(A11,LiveData!A:F,6,0)</f>
        <v>60.39</v>
      </c>
      <c r="K11" s="17">
        <f t="shared" si="16"/>
        <v>544.5</v>
      </c>
      <c r="L11" s="34">
        <f t="shared" si="17"/>
        <v>551.5</v>
      </c>
      <c r="M11" s="18">
        <f t="shared" si="18"/>
        <v>551.25</v>
      </c>
      <c r="N11" s="34">
        <f t="shared" si="19"/>
        <v>550.75</v>
      </c>
      <c r="O11" s="18">
        <f t="shared" si="20"/>
        <v>550.25</v>
      </c>
      <c r="P11" s="19">
        <f t="shared" si="21"/>
        <v>549.75</v>
      </c>
      <c r="Q11" s="31">
        <f t="shared" si="22"/>
        <v>548.25</v>
      </c>
      <c r="R11" s="20">
        <f t="shared" si="23"/>
        <v>546.75</v>
      </c>
      <c r="S11" s="19">
        <f t="shared" si="24"/>
        <v>546</v>
      </c>
      <c r="T11" s="1">
        <f t="shared" si="25"/>
        <v>545.75</v>
      </c>
      <c r="U11" s="20">
        <f t="shared" si="26"/>
        <v>545</v>
      </c>
      <c r="V11" s="18">
        <f t="shared" si="27"/>
        <v>544.75</v>
      </c>
      <c r="W11" s="38"/>
      <c r="X11" s="34">
        <f t="shared" si="28"/>
        <v>537.5</v>
      </c>
      <c r="Y11" s="18">
        <f t="shared" si="29"/>
        <v>537.75</v>
      </c>
      <c r="Z11" s="34">
        <f t="shared" si="30"/>
        <v>538.25</v>
      </c>
      <c r="AA11" s="18">
        <f t="shared" si="31"/>
        <v>538.75</v>
      </c>
      <c r="AB11" s="19">
        <f t="shared" si="32"/>
        <v>539.25</v>
      </c>
      <c r="AC11" s="31">
        <f t="shared" si="33"/>
        <v>540.75</v>
      </c>
      <c r="AD11" s="20">
        <f t="shared" si="34"/>
        <v>542.25</v>
      </c>
      <c r="AE11" s="19">
        <f t="shared" si="35"/>
        <v>543</v>
      </c>
      <c r="AF11" s="41">
        <f t="shared" si="36"/>
        <v>543.25</v>
      </c>
      <c r="AG11" s="20">
        <f t="shared" si="37"/>
        <v>544</v>
      </c>
      <c r="AH11" s="18">
        <f t="shared" si="38"/>
        <v>544.25</v>
      </c>
      <c r="AK11" s="22"/>
    </row>
    <row r="12" spans="1:37" s="21" customFormat="1" x14ac:dyDescent="0.25">
      <c r="A12" s="13" t="s">
        <v>22</v>
      </c>
      <c r="B12" s="14" t="str">
        <f t="shared" si="12"/>
        <v/>
      </c>
      <c r="C12" s="15" t="str">
        <f t="shared" si="13"/>
        <v/>
      </c>
      <c r="D12" s="14" t="str">
        <f t="shared" si="14"/>
        <v>Sell</v>
      </c>
      <c r="E12" s="14">
        <f t="shared" si="15"/>
        <v>-2.5</v>
      </c>
      <c r="F12" s="16">
        <f>VLOOKUP(A12,LiveData!A:E,5,0)</f>
        <v>366</v>
      </c>
      <c r="G12" s="17">
        <f>VLOOKUP(A12,LiveData!A:E,2,0)</f>
        <v>369.5</v>
      </c>
      <c r="H12" s="17">
        <f>VLOOKUP(A12,LiveData!A:E,3,0)</f>
        <v>371</v>
      </c>
      <c r="I12" s="17">
        <f>VLOOKUP(A12,LiveData!A:E,4,0)</f>
        <v>365.25</v>
      </c>
      <c r="J12" s="17">
        <f>VLOOKUP(A12,LiveData!A:F,6,0)</f>
        <v>11.99</v>
      </c>
      <c r="K12" s="17">
        <f t="shared" si="16"/>
        <v>369.5</v>
      </c>
      <c r="L12" s="34">
        <f t="shared" si="17"/>
        <v>375.25</v>
      </c>
      <c r="M12" s="18">
        <f t="shared" si="18"/>
        <v>375</v>
      </c>
      <c r="N12" s="34">
        <f t="shared" si="19"/>
        <v>374.5</v>
      </c>
      <c r="O12" s="18">
        <f t="shared" si="20"/>
        <v>374.25</v>
      </c>
      <c r="P12" s="19">
        <f t="shared" si="21"/>
        <v>373.75</v>
      </c>
      <c r="Q12" s="31">
        <f t="shared" si="22"/>
        <v>372.5</v>
      </c>
      <c r="R12" s="20">
        <f t="shared" si="23"/>
        <v>371.25</v>
      </c>
      <c r="S12" s="19">
        <f t="shared" si="24"/>
        <v>370.75</v>
      </c>
      <c r="T12" s="1">
        <f t="shared" si="25"/>
        <v>370.5</v>
      </c>
      <c r="U12" s="20">
        <f t="shared" si="26"/>
        <v>370</v>
      </c>
      <c r="V12" s="18">
        <f t="shared" si="27"/>
        <v>369.75</v>
      </c>
      <c r="W12" s="38"/>
      <c r="X12" s="34">
        <f t="shared" si="28"/>
        <v>363.75</v>
      </c>
      <c r="Y12" s="18">
        <f t="shared" si="29"/>
        <v>364</v>
      </c>
      <c r="Z12" s="34">
        <f t="shared" si="30"/>
        <v>364.5</v>
      </c>
      <c r="AA12" s="18">
        <f t="shared" si="31"/>
        <v>364.75</v>
      </c>
      <c r="AB12" s="19">
        <f t="shared" si="32"/>
        <v>365.25</v>
      </c>
      <c r="AC12" s="31">
        <f t="shared" si="33"/>
        <v>366.5</v>
      </c>
      <c r="AD12" s="20">
        <f t="shared" si="34"/>
        <v>367.75</v>
      </c>
      <c r="AE12" s="19">
        <f t="shared" si="35"/>
        <v>368.25</v>
      </c>
      <c r="AF12" s="41">
        <f t="shared" si="36"/>
        <v>368.5</v>
      </c>
      <c r="AG12" s="20">
        <f t="shared" si="37"/>
        <v>369</v>
      </c>
      <c r="AH12" s="18">
        <f t="shared" si="38"/>
        <v>369.25</v>
      </c>
      <c r="AK12" s="22"/>
    </row>
    <row r="13" spans="1:37" s="21" customFormat="1" x14ac:dyDescent="0.25">
      <c r="A13" s="13" t="s">
        <v>23</v>
      </c>
      <c r="B13" s="14" t="str">
        <f t="shared" si="12"/>
        <v/>
      </c>
      <c r="C13" s="15" t="str">
        <f t="shared" si="13"/>
        <v/>
      </c>
      <c r="D13" s="14" t="str">
        <f t="shared" si="14"/>
        <v>Sell</v>
      </c>
      <c r="E13" s="14">
        <f t="shared" si="15"/>
        <v>-316.20000000000073</v>
      </c>
      <c r="F13" s="16">
        <f>VLOOKUP(A13,LiveData!A:E,5,0)</f>
        <v>20010.05</v>
      </c>
      <c r="G13" s="17">
        <f>VLOOKUP(A13,LiveData!A:E,2,0)</f>
        <v>20350</v>
      </c>
      <c r="H13" s="17">
        <f>VLOOKUP(A13,LiveData!A:E,3,0)</f>
        <v>20350</v>
      </c>
      <c r="I13" s="17">
        <f>VLOOKUP(A13,LiveData!A:E,4,0)</f>
        <v>19999</v>
      </c>
      <c r="J13" s="17">
        <f>VLOOKUP(A13,LiveData!A:F,6,0)</f>
        <v>0.11</v>
      </c>
      <c r="K13" s="17">
        <f t="shared" si="16"/>
        <v>20350</v>
      </c>
      <c r="L13" s="34">
        <f>MROUND(POWER(SQRT(K13)+$L$2,2),0.25)</f>
        <v>20487</v>
      </c>
      <c r="M13" s="18">
        <f>MROUND(POWER(SQRT(K13)+$M$2,2),0.25)</f>
        <v>20481</v>
      </c>
      <c r="N13" s="34">
        <f>MROUND(POWER(SQRT(K13)+$N$2,2),0.25)</f>
        <v>20469</v>
      </c>
      <c r="O13" s="18">
        <f>MROUND(POWER(SQRT(K13)+$O$2,2),0.25)</f>
        <v>20463</v>
      </c>
      <c r="P13" s="19">
        <f>MROUND(POWER(SQRT(K13)+$P$2,2),0.25)</f>
        <v>20451.25</v>
      </c>
      <c r="Q13" s="31">
        <f>MROUND(POWER(SQRT(K13)+$Q$2,2),0.25)</f>
        <v>20421.5</v>
      </c>
      <c r="R13" s="20">
        <f>MROUND(POWER(SQRT(K13)+$R$2,2),0.25)</f>
        <v>20391.75</v>
      </c>
      <c r="S13" s="19">
        <f>MROUND(POWER(SQRT(K13)+$S$2,2),0.25)</f>
        <v>20379.75</v>
      </c>
      <c r="T13" s="1">
        <f>MROUND(POWER(SQRT(K13)+$T$2,2),0.25)</f>
        <v>20373.75</v>
      </c>
      <c r="U13" s="20">
        <f>MROUND(POWER(SQRT(K13)+$U$2,2),0.25)</f>
        <v>20362</v>
      </c>
      <c r="V13" s="18">
        <f>MROUND(POWER(SQRT(K13)+$V$2,2),0.25)</f>
        <v>20356</v>
      </c>
      <c r="W13" s="38"/>
      <c r="X13" s="34">
        <f>MROUND(POWER(SQRT(K13)-$X$2,2),0.25)</f>
        <v>20213.5</v>
      </c>
      <c r="Y13" s="18">
        <f>MROUND(POWER(SQRT(K13)-$Y$2,2),0.25)</f>
        <v>20219.5</v>
      </c>
      <c r="Z13" s="34">
        <f>MROUND(POWER(SQRT(K13)-$Z$2,2),0.25)</f>
        <v>20231.25</v>
      </c>
      <c r="AA13" s="18">
        <f>MROUND(POWER(SQRT(K13)-$AA$2,2),0.25)</f>
        <v>20237.25</v>
      </c>
      <c r="AB13" s="19">
        <f>MROUND(POWER(SQRT(K13)-$AB$2,2),0.25)</f>
        <v>20249</v>
      </c>
      <c r="AC13" s="31">
        <f>MROUND(POWER(SQRT(K13)-$AC$2,2),0.25)</f>
        <v>20278.75</v>
      </c>
      <c r="AD13" s="20">
        <f>MROUND(POWER(SQRT(K13)-$AD$2,2),0.25)</f>
        <v>20308.5</v>
      </c>
      <c r="AE13" s="19">
        <f>MROUND(POWER(SQRT(K13)-$AE$2,2),0.25)</f>
        <v>20320.25</v>
      </c>
      <c r="AF13" s="41">
        <f>MROUND(POWER(SQRT(K13)-$AF$2,2),0.25)</f>
        <v>20326.25</v>
      </c>
      <c r="AG13" s="20">
        <f>MROUND(POWER(SQRT(K13)-$AG$2,2),0.25)</f>
        <v>20338</v>
      </c>
      <c r="AH13" s="18">
        <f>MROUND(POWER(SQRT(K13)-$AH$2,2),0.25)</f>
        <v>20344</v>
      </c>
      <c r="AK13" s="22"/>
    </row>
    <row r="14" spans="1:37" s="21" customFormat="1" x14ac:dyDescent="0.25">
      <c r="A14" s="13" t="s">
        <v>24</v>
      </c>
      <c r="B14" s="14" t="str">
        <f t="shared" si="12"/>
        <v/>
      </c>
      <c r="C14" s="15" t="str">
        <f t="shared" si="13"/>
        <v/>
      </c>
      <c r="D14" s="14" t="str">
        <f t="shared" si="14"/>
        <v/>
      </c>
      <c r="E14" s="14" t="str">
        <f t="shared" si="15"/>
        <v/>
      </c>
      <c r="F14" s="16">
        <f>VLOOKUP(A14,LiveData!A:E,5,0)</f>
        <v>612.4</v>
      </c>
      <c r="G14" s="17">
        <f>VLOOKUP(A14,LiveData!A:E,2,0)</f>
        <v>613</v>
      </c>
      <c r="H14" s="17">
        <f>VLOOKUP(A14,LiveData!A:E,3,0)</f>
        <v>623.75</v>
      </c>
      <c r="I14" s="17">
        <f>VLOOKUP(A14,LiveData!A:E,4,0)</f>
        <v>610.20000000000005</v>
      </c>
      <c r="J14" s="17">
        <f>VLOOKUP(A14,LiveData!A:F,6,0)</f>
        <v>17.649999999999999</v>
      </c>
      <c r="K14" s="17">
        <f t="shared" si="16"/>
        <v>613</v>
      </c>
      <c r="L14" s="34">
        <f t="shared" ref="L14:L15" si="39">MROUND((POWER(SQRT(K14*10)+$L$2,2))/10,0.25)</f>
        <v>620.5</v>
      </c>
      <c r="M14" s="18">
        <f t="shared" ref="M14:M15" si="40">MROUND((POWER(SQRT(K14*10)+$M$2,2))/10,0.25)</f>
        <v>620.25</v>
      </c>
      <c r="N14" s="34">
        <f t="shared" ref="N14:N15" si="41">MROUND((POWER(SQRT(K14*10)+$N$2,2))/10,0.25)</f>
        <v>619.5</v>
      </c>
      <c r="O14" s="18">
        <f t="shared" ref="O14:O15" si="42">MROUND((POWER(SQRT(K14*10)+$O$2,2))/10,0.25)</f>
        <v>619.25</v>
      </c>
      <c r="P14" s="19">
        <f t="shared" ref="P14:P15" si="43">MROUND((POWER(SQRT(K14*10)+$P$2,2))/10,0.25)</f>
        <v>618.5</v>
      </c>
      <c r="Q14" s="31">
        <f t="shared" ref="Q14:Q15" si="44">MROUND((POWER(SQRT(K14*10)+$Q$2,2))/10,0.25)</f>
        <v>617</v>
      </c>
      <c r="R14" s="20">
        <f t="shared" ref="R14:R15" si="45">MROUND((POWER(SQRT(K14*10)+$R$2,2))/10,0.25)</f>
        <v>615.25</v>
      </c>
      <c r="S14" s="19">
        <f t="shared" ref="S14:S15" si="46">MROUND((POWER(SQRT(K14*10)+$S$2,2))/10,0.25)</f>
        <v>614.75</v>
      </c>
      <c r="T14" s="1">
        <f t="shared" ref="T14:T15" si="47">MROUND((POWER(SQRT(K14*10)+$T$2,2))/10,0.25)</f>
        <v>614.25</v>
      </c>
      <c r="U14" s="20">
        <f t="shared" ref="U14:U15" si="48">MROUND((POWER(SQRT(K14*10)+$U$2,2))/10,0.25)</f>
        <v>613.75</v>
      </c>
      <c r="V14" s="18">
        <f t="shared" ref="V14:V15" si="49">MROUND((POWER(SQRT(K14*10)+$V$2,2))/10,0.25)</f>
        <v>613.25</v>
      </c>
      <c r="W14" s="38"/>
      <c r="X14" s="34">
        <f t="shared" ref="X14:X15" si="50">MROUND((POWER(SQRT(K14*10)-$X$2,2))/10,0.25)</f>
        <v>605.5</v>
      </c>
      <c r="Y14" s="18">
        <f t="shared" ref="Y14:Y15" si="51">MROUND((POWER(SQRT(K14*10)-$Y$2,2))/10,0.25)</f>
        <v>605.75</v>
      </c>
      <c r="Z14" s="34">
        <f t="shared" ref="Z14:Z15" si="52">MROUND((POWER(SQRT(K14*10)-$Z$2,2))/10,0.25)</f>
        <v>606.5</v>
      </c>
      <c r="AA14" s="18">
        <f t="shared" ref="AA14:AA15" si="53">MROUND((POWER(SQRT(K14*10)-$AA$2,2))/10,0.25)</f>
        <v>606.75</v>
      </c>
      <c r="AB14" s="19">
        <f t="shared" ref="AB14:AB15" si="54">MROUND((POWER(SQRT(K14*10)-$AB$2,2))/10,0.25)</f>
        <v>607.5</v>
      </c>
      <c r="AC14" s="31">
        <f t="shared" ref="AC14:AC15" si="55">MROUND((POWER(SQRT(K14*10)-$AC$2,2))/10,0.25)</f>
        <v>609</v>
      </c>
      <c r="AD14" s="20">
        <f t="shared" ref="AD14:AD15" si="56">MROUND((POWER(SQRT(K14*10)-$AD$2,2))/10,0.25)</f>
        <v>610.75</v>
      </c>
      <c r="AE14" s="19">
        <f t="shared" ref="AE14:AE15" si="57">MROUND((POWER(SQRT(K14*10)-$AE$2,2))/10,0.25)</f>
        <v>611.25</v>
      </c>
      <c r="AF14" s="41">
        <f t="shared" ref="AF14:AF15" si="58">MROUND((POWER(SQRT(K14*10)-$AF$2,2))/10,0.25)</f>
        <v>611.75</v>
      </c>
      <c r="AG14" s="20">
        <f t="shared" ref="AG14:AG15" si="59">MROUND((POWER(SQRT(K14*10)-$AG$2,2))/10,0.25)</f>
        <v>612.25</v>
      </c>
      <c r="AH14" s="18">
        <f t="shared" ref="AH14:AH15" si="60">MROUND((POWER(SQRT(K14*10)-$AH$2,2))/10,0.25)</f>
        <v>612.75</v>
      </c>
      <c r="AK14" s="22"/>
    </row>
    <row r="15" spans="1:37" s="21" customFormat="1" x14ac:dyDescent="0.25">
      <c r="A15" s="13" t="s">
        <v>25</v>
      </c>
      <c r="B15" s="14" t="str">
        <f t="shared" si="12"/>
        <v/>
      </c>
      <c r="C15" s="15" t="str">
        <f t="shared" si="13"/>
        <v/>
      </c>
      <c r="D15" s="14" t="str">
        <f t="shared" si="14"/>
        <v/>
      </c>
      <c r="E15" s="14" t="str">
        <f t="shared" si="15"/>
        <v/>
      </c>
      <c r="F15" s="16">
        <f>VLOOKUP(A15,LiveData!A:E,5,0)</f>
        <v>262.64999999999998</v>
      </c>
      <c r="G15" s="17">
        <f>VLOOKUP(A15,LiveData!A:E,2,0)</f>
        <v>263.3</v>
      </c>
      <c r="H15" s="17">
        <f>VLOOKUP(A15,LiveData!A:E,3,0)</f>
        <v>265.10000000000002</v>
      </c>
      <c r="I15" s="17">
        <f>VLOOKUP(A15,LiveData!A:E,4,0)</f>
        <v>261.60000000000002</v>
      </c>
      <c r="J15" s="17">
        <f>VLOOKUP(A15,LiveData!A:F,6,0)</f>
        <v>64.010000000000005</v>
      </c>
      <c r="K15" s="17">
        <f t="shared" si="16"/>
        <v>263.3</v>
      </c>
      <c r="L15" s="34">
        <f t="shared" si="39"/>
        <v>268.25</v>
      </c>
      <c r="M15" s="18">
        <f t="shared" si="40"/>
        <v>268</v>
      </c>
      <c r="N15" s="34">
        <f t="shared" si="41"/>
        <v>267.5</v>
      </c>
      <c r="O15" s="18">
        <f t="shared" si="42"/>
        <v>267.5</v>
      </c>
      <c r="P15" s="19">
        <f t="shared" si="43"/>
        <v>267</v>
      </c>
      <c r="Q15" s="31">
        <f t="shared" si="44"/>
        <v>265.75</v>
      </c>
      <c r="R15" s="20">
        <f t="shared" si="45"/>
        <v>264.75</v>
      </c>
      <c r="S15" s="19">
        <f t="shared" si="46"/>
        <v>264.25</v>
      </c>
      <c r="T15" s="1">
        <f t="shared" si="47"/>
        <v>264.25</v>
      </c>
      <c r="U15" s="20">
        <f t="shared" si="48"/>
        <v>263.75</v>
      </c>
      <c r="V15" s="18">
        <f t="shared" si="49"/>
        <v>263.5</v>
      </c>
      <c r="W15" s="38"/>
      <c r="X15" s="34">
        <f t="shared" si="50"/>
        <v>258.5</v>
      </c>
      <c r="Y15" s="18">
        <f t="shared" si="51"/>
        <v>258.5</v>
      </c>
      <c r="Z15" s="34">
        <f t="shared" si="52"/>
        <v>259</v>
      </c>
      <c r="AA15" s="18">
        <f t="shared" si="53"/>
        <v>259.25</v>
      </c>
      <c r="AB15" s="19">
        <f t="shared" si="54"/>
        <v>259.75</v>
      </c>
      <c r="AC15" s="31">
        <f t="shared" si="55"/>
        <v>260.75</v>
      </c>
      <c r="AD15" s="20">
        <f t="shared" si="56"/>
        <v>261.75</v>
      </c>
      <c r="AE15" s="19">
        <f t="shared" si="57"/>
        <v>262.25</v>
      </c>
      <c r="AF15" s="41">
        <f t="shared" si="58"/>
        <v>262.5</v>
      </c>
      <c r="AG15" s="20">
        <f t="shared" si="59"/>
        <v>262.75</v>
      </c>
      <c r="AH15" s="18">
        <f t="shared" si="60"/>
        <v>263</v>
      </c>
      <c r="AK15" s="22"/>
    </row>
    <row r="16" spans="1:37" s="21" customFormat="1" x14ac:dyDescent="0.25">
      <c r="A16" s="13" t="s">
        <v>26</v>
      </c>
      <c r="B16" s="14" t="str">
        <f t="shared" si="12"/>
        <v>Buy</v>
      </c>
      <c r="C16" s="15">
        <f t="shared" si="13"/>
        <v>24.099999999999909</v>
      </c>
      <c r="D16" s="14" t="str">
        <f t="shared" si="14"/>
        <v/>
      </c>
      <c r="E16" s="14" t="str">
        <f t="shared" si="15"/>
        <v/>
      </c>
      <c r="F16" s="16">
        <f>VLOOKUP(A16,LiveData!A:E,5,0)</f>
        <v>2395.1</v>
      </c>
      <c r="G16" s="17">
        <f>VLOOKUP(A16,LiveData!A:E,2,0)</f>
        <v>2363</v>
      </c>
      <c r="H16" s="17">
        <f>VLOOKUP(A16,LiveData!A:E,3,0)</f>
        <v>2424.0500000000002</v>
      </c>
      <c r="I16" s="17">
        <f>VLOOKUP(A16,LiveData!A:E,4,0)</f>
        <v>2362</v>
      </c>
      <c r="J16" s="17">
        <f>VLOOKUP(A16,LiveData!A:F,6,0)</f>
        <v>6.94</v>
      </c>
      <c r="K16" s="17">
        <f t="shared" si="16"/>
        <v>2363</v>
      </c>
      <c r="L16" s="34">
        <f>MROUND(POWER(SQRT(K16)+$L$2,2),0.25)</f>
        <v>2409.75</v>
      </c>
      <c r="M16" s="18">
        <f>MROUND(POWER(SQRT(K16)+$M$2,2),0.25)</f>
        <v>2407.75</v>
      </c>
      <c r="N16" s="34">
        <f>MROUND(POWER(SQRT(K16)+$N$2,2),0.25)</f>
        <v>2403.75</v>
      </c>
      <c r="O16" s="18">
        <f>MROUND(POWER(SQRT(K16)+$O$2,2),0.25)</f>
        <v>2401.75</v>
      </c>
      <c r="P16" s="19">
        <f>MROUND(POWER(SQRT(K16)+$P$2,2),0.25)</f>
        <v>2397.5</v>
      </c>
      <c r="Q16" s="31">
        <f>MROUND(POWER(SQRT(K16)+$Q$2,2),0.25)</f>
        <v>2387.25</v>
      </c>
      <c r="R16" s="20">
        <f>MROUND(POWER(SQRT(K16)+$R$2,2),0.25)</f>
        <v>2377.25</v>
      </c>
      <c r="S16" s="19">
        <f>MROUND(POWER(SQRT(K16)+$S$2,2),0.25)</f>
        <v>2373.25</v>
      </c>
      <c r="T16" s="1">
        <f>MROUND(POWER(SQRT(K16)+$T$2,2),0.25)</f>
        <v>2371</v>
      </c>
      <c r="U16" s="20">
        <f>MROUND(POWER(SQRT(K16)+$U$2,2),0.25)</f>
        <v>2367</v>
      </c>
      <c r="V16" s="18">
        <f>MROUND(POWER(SQRT(K16)+$V$2,2),0.25)</f>
        <v>2365</v>
      </c>
      <c r="W16" s="38"/>
      <c r="X16" s="34">
        <f>MROUND(POWER(SQRT(K16)-$X$2,2),0.25)</f>
        <v>2316.75</v>
      </c>
      <c r="Y16" s="18">
        <f>MROUND(POWER(SQRT(K16)-$Y$2,2),0.25)</f>
        <v>2318.75</v>
      </c>
      <c r="Z16" s="34">
        <f>MROUND(POWER(SQRT(K16)-$Z$2,2),0.25)</f>
        <v>2322.75</v>
      </c>
      <c r="AA16" s="18">
        <f>MROUND(POWER(SQRT(K16)-$AA$2,2),0.25)</f>
        <v>2324.75</v>
      </c>
      <c r="AB16" s="19">
        <f>MROUND(POWER(SQRT(K16)-$AB$2,2),0.25)</f>
        <v>2328.75</v>
      </c>
      <c r="AC16" s="31">
        <f>MROUND(POWER(SQRT(K16)-$AC$2,2),0.25)</f>
        <v>2338.75</v>
      </c>
      <c r="AD16" s="20">
        <f>MROUND(POWER(SQRT(K16)-$AD$2,2),0.25)</f>
        <v>2348.75</v>
      </c>
      <c r="AE16" s="19">
        <f>MROUND(POWER(SQRT(K16)-$AE$2,2),0.25)</f>
        <v>2353</v>
      </c>
      <c r="AF16" s="41">
        <f>MROUND(POWER(SQRT(K16)-$AF$2,2),0.25)</f>
        <v>2355</v>
      </c>
      <c r="AG16" s="20">
        <f>MROUND(POWER(SQRT(K16)-$AG$2,2),0.25)</f>
        <v>2359</v>
      </c>
      <c r="AH16" s="18">
        <f>MROUND(POWER(SQRT(K16)-$AH$2,2),0.25)</f>
        <v>2361</v>
      </c>
      <c r="AK16" s="22"/>
    </row>
    <row r="17" spans="1:37" s="21" customFormat="1" x14ac:dyDescent="0.25">
      <c r="A17" s="13" t="s">
        <v>27</v>
      </c>
      <c r="B17" s="14" t="str">
        <f t="shared" si="12"/>
        <v/>
      </c>
      <c r="C17" s="15" t="str">
        <f t="shared" si="13"/>
        <v/>
      </c>
      <c r="D17" s="14" t="str">
        <f t="shared" si="14"/>
        <v>Sell</v>
      </c>
      <c r="E17" s="14">
        <f t="shared" si="15"/>
        <v>-51</v>
      </c>
      <c r="F17" s="16">
        <f>VLOOKUP(A17,LiveData!A:E,5,0)</f>
        <v>30200</v>
      </c>
      <c r="G17" s="17">
        <f>VLOOKUP(A17,LiveData!A:E,2,0)</f>
        <v>30280</v>
      </c>
      <c r="H17" s="17">
        <f>VLOOKUP(A17,LiveData!A:E,3,0)</f>
        <v>30320</v>
      </c>
      <c r="I17" s="17">
        <f>VLOOKUP(A17,LiveData!A:E,4,0)</f>
        <v>30100</v>
      </c>
      <c r="J17" s="17">
        <f>VLOOKUP(A17,LiveData!A:F,6,0)</f>
        <v>0.12</v>
      </c>
      <c r="K17" s="17">
        <f t="shared" si="16"/>
        <v>30280</v>
      </c>
      <c r="L17" s="34">
        <f>MROUND(POWER(SQRT(K17)+$L$2,2),0.25)</f>
        <v>30447</v>
      </c>
      <c r="M17" s="18">
        <f>MROUND(POWER(SQRT(K17)+$M$2,2),0.25)</f>
        <v>30439.75</v>
      </c>
      <c r="N17" s="34">
        <f>MROUND(POWER(SQRT(K17)+$N$2,2),0.25)</f>
        <v>30425.25</v>
      </c>
      <c r="O17" s="18">
        <f>MROUND(POWER(SQRT(K17)+$O$2,2),0.25)</f>
        <v>30418</v>
      </c>
      <c r="P17" s="19">
        <f>MROUND(POWER(SQRT(K17)+$P$2,2),0.25)</f>
        <v>30403.5</v>
      </c>
      <c r="Q17" s="31">
        <f>MROUND(POWER(SQRT(K17)+$Q$2,2),0.25)</f>
        <v>30367</v>
      </c>
      <c r="R17" s="20">
        <f>MROUND(POWER(SQRT(K17)+$R$2,2),0.25)</f>
        <v>30330.75</v>
      </c>
      <c r="S17" s="19">
        <f>MROUND(POWER(SQRT(K17)+$S$2,2),0.25)</f>
        <v>30316.25</v>
      </c>
      <c r="T17" s="1">
        <f>MROUND(POWER(SQRT(K17)+$T$2,2),0.25)</f>
        <v>30309</v>
      </c>
      <c r="U17" s="20">
        <f>MROUND(POWER(SQRT(K17)+$U$2,2),0.25)</f>
        <v>30294.5</v>
      </c>
      <c r="V17" s="18">
        <f>MROUND(POWER(SQRT(K17)+$V$2,2),0.25)</f>
        <v>30287.25</v>
      </c>
      <c r="W17" s="38"/>
      <c r="X17" s="34">
        <f>MROUND(POWER(SQRT(K17)-$X$2,2),0.25)</f>
        <v>30113.5</v>
      </c>
      <c r="Y17" s="18">
        <f>MROUND(POWER(SQRT(K17)-$Y$2,2),0.25)</f>
        <v>30120.75</v>
      </c>
      <c r="Z17" s="34">
        <f>MROUND(POWER(SQRT(K17)-$Z$2,2),0.25)</f>
        <v>30135.25</v>
      </c>
      <c r="AA17" s="18">
        <f>MROUND(POWER(SQRT(K17)-$AA$2,2),0.25)</f>
        <v>30142.5</v>
      </c>
      <c r="AB17" s="19">
        <f>MROUND(POWER(SQRT(K17)-$AB$2,2),0.25)</f>
        <v>30156.75</v>
      </c>
      <c r="AC17" s="31">
        <f>MROUND(POWER(SQRT(K17)-$AC$2,2),0.25)</f>
        <v>30193</v>
      </c>
      <c r="AD17" s="20">
        <f>MROUND(POWER(SQRT(K17)-$AD$2,2),0.25)</f>
        <v>30229.25</v>
      </c>
      <c r="AE17" s="19">
        <f>MROUND(POWER(SQRT(K17)-$AE$2,2),0.25)</f>
        <v>30243.75</v>
      </c>
      <c r="AF17" s="41">
        <f>MROUND(POWER(SQRT(K17)-$AF$2,2),0.25)</f>
        <v>30251</v>
      </c>
      <c r="AG17" s="20">
        <f>MROUND(POWER(SQRT(K17)-$AG$2,2),0.25)</f>
        <v>30265.5</v>
      </c>
      <c r="AH17" s="18">
        <f>MROUND(POWER(SQRT(K17)-$AH$2,2),0.25)</f>
        <v>30272.75</v>
      </c>
      <c r="AK17" s="22"/>
    </row>
    <row r="18" spans="1:37" s="21" customFormat="1" x14ac:dyDescent="0.25">
      <c r="A18" s="13" t="s">
        <v>8</v>
      </c>
      <c r="B18" s="14" t="str">
        <f t="shared" si="12"/>
        <v/>
      </c>
      <c r="C18" s="15" t="str">
        <f t="shared" si="13"/>
        <v/>
      </c>
      <c r="D18" s="14" t="str">
        <f t="shared" si="14"/>
        <v>Sell</v>
      </c>
      <c r="E18" s="14">
        <f t="shared" si="15"/>
        <v>-2.5</v>
      </c>
      <c r="F18" s="16">
        <f>VLOOKUP(A18,LiveData!A:E,5,0)</f>
        <v>509</v>
      </c>
      <c r="G18" s="17">
        <f>VLOOKUP(A18,LiveData!A:E,2,0)</f>
        <v>512.70000000000005</v>
      </c>
      <c r="H18" s="17">
        <f>VLOOKUP(A18,LiveData!A:E,3,0)</f>
        <v>513.95000000000005</v>
      </c>
      <c r="I18" s="17">
        <f>VLOOKUP(A18,LiveData!A:E,4,0)</f>
        <v>506.8</v>
      </c>
      <c r="J18" s="17">
        <f>VLOOKUP(A18,LiveData!A:F,6,0)</f>
        <v>38.5</v>
      </c>
      <c r="K18" s="17">
        <f t="shared" si="16"/>
        <v>512.70000000000005</v>
      </c>
      <c r="L18" s="34">
        <f t="shared" ref="L18:L19" si="61">MROUND((POWER(SQRT(K18*10)+$L$2,2))/10,0.25)</f>
        <v>519.5</v>
      </c>
      <c r="M18" s="18">
        <f t="shared" ref="M18:M19" si="62">MROUND((POWER(SQRT(K18*10)+$M$2,2))/10,0.25)</f>
        <v>519.25</v>
      </c>
      <c r="N18" s="34">
        <f t="shared" ref="N18:N19" si="63">MROUND((POWER(SQRT(K18*10)+$N$2,2))/10,0.25)</f>
        <v>518.75</v>
      </c>
      <c r="O18" s="18">
        <f t="shared" ref="O18:O19" si="64">MROUND((POWER(SQRT(K18*10)+$O$2,2))/10,0.25)</f>
        <v>518.5</v>
      </c>
      <c r="P18" s="19">
        <f t="shared" ref="P18:P19" si="65">MROUND((POWER(SQRT(K18*10)+$P$2,2))/10,0.25)</f>
        <v>517.75</v>
      </c>
      <c r="Q18" s="31">
        <f t="shared" ref="Q18:Q19" si="66">MROUND((POWER(SQRT(K18*10)+$Q$2,2))/10,0.25)</f>
        <v>516.25</v>
      </c>
      <c r="R18" s="20">
        <f t="shared" ref="R18:R19" si="67">MROUND((POWER(SQRT(K18*10)+$R$2,2))/10,0.25)</f>
        <v>514.75</v>
      </c>
      <c r="S18" s="19">
        <f t="shared" ref="S18:S19" si="68">MROUND((POWER(SQRT(K18*10)+$S$2,2))/10,0.25)</f>
        <v>514.25</v>
      </c>
      <c r="T18" s="1">
        <f t="shared" ref="T18:T19" si="69">MROUND((POWER(SQRT(K18*10)+$T$2,2))/10,0.25)</f>
        <v>514</v>
      </c>
      <c r="U18" s="20">
        <f t="shared" ref="U18:U19" si="70">MROUND((POWER(SQRT(K18*10)+$U$2,2))/10,0.25)</f>
        <v>513.25</v>
      </c>
      <c r="V18" s="18">
        <f t="shared" ref="V18:V19" si="71">MROUND((POWER(SQRT(K18*10)+$V$2,2))/10,0.25)</f>
        <v>513</v>
      </c>
      <c r="W18" s="38"/>
      <c r="X18" s="34">
        <f t="shared" ref="X18:X19" si="72">MROUND((POWER(SQRT(K18*10)-$X$2,2))/10,0.25)</f>
        <v>505.75</v>
      </c>
      <c r="Y18" s="18">
        <f t="shared" ref="Y18:Y19" si="73">MROUND((POWER(SQRT(K18*10)-$Y$2,2))/10,0.25)</f>
        <v>506.25</v>
      </c>
      <c r="Z18" s="34">
        <f t="shared" ref="Z18:Z19" si="74">MROUND((POWER(SQRT(K18*10)-$Z$2,2))/10,0.25)</f>
        <v>506.75</v>
      </c>
      <c r="AA18" s="18">
        <f t="shared" ref="AA18:AA19" si="75">MROUND((POWER(SQRT(K18*10)-$AA$2,2))/10,0.25)</f>
        <v>507</v>
      </c>
      <c r="AB18" s="19">
        <f t="shared" ref="AB18:AB19" si="76">MROUND((POWER(SQRT(K18*10)-$AB$2,2))/10,0.25)</f>
        <v>507.75</v>
      </c>
      <c r="AC18" s="31">
        <f t="shared" ref="AC18:AC19" si="77">MROUND((POWER(SQRT(K18*10)-$AC$2,2))/10,0.25)</f>
        <v>509.25</v>
      </c>
      <c r="AD18" s="20">
        <f t="shared" ref="AD18:AD19" si="78">MROUND((POWER(SQRT(K18*10)-$AD$2,2))/10,0.25)</f>
        <v>510.5</v>
      </c>
      <c r="AE18" s="19">
        <f t="shared" ref="AE18:AE19" si="79">MROUND((POWER(SQRT(K18*10)-$AE$2,2))/10,0.25)</f>
        <v>511.25</v>
      </c>
      <c r="AF18" s="41">
        <f t="shared" ref="AF18:AF19" si="80">MROUND((POWER(SQRT(K18*10)-$AF$2,2))/10,0.25)</f>
        <v>511.5</v>
      </c>
      <c r="AG18" s="20">
        <f t="shared" ref="AG18:AG19" si="81">MROUND((POWER(SQRT(K18*10)-$AG$2,2))/10,0.25)</f>
        <v>512</v>
      </c>
      <c r="AH18" s="18">
        <f t="shared" ref="AH18:AH19" si="82">MROUND((POWER(SQRT(K18*10)-$AH$2,2))/10,0.25)</f>
        <v>512.5</v>
      </c>
      <c r="AK18" s="22"/>
    </row>
    <row r="19" spans="1:37" s="21" customFormat="1" x14ac:dyDescent="0.25">
      <c r="A19" s="13" t="s">
        <v>28</v>
      </c>
      <c r="B19" s="14" t="str">
        <f t="shared" si="12"/>
        <v/>
      </c>
      <c r="C19" s="15" t="str">
        <f t="shared" si="13"/>
        <v/>
      </c>
      <c r="D19" s="14" t="str">
        <f t="shared" si="14"/>
        <v>Sell</v>
      </c>
      <c r="E19" s="14">
        <f t="shared" si="15"/>
        <v>-2.5</v>
      </c>
      <c r="F19" s="16">
        <f>VLOOKUP(A19,LiveData!A:E,5,0)</f>
        <v>882</v>
      </c>
      <c r="G19" s="17">
        <f>VLOOKUP(A19,LiveData!A:E,2,0)</f>
        <v>886</v>
      </c>
      <c r="H19" s="17">
        <f>VLOOKUP(A19,LiveData!A:E,3,0)</f>
        <v>891.6</v>
      </c>
      <c r="I19" s="17">
        <f>VLOOKUP(A19,LiveData!A:E,4,0)</f>
        <v>880.55</v>
      </c>
      <c r="J19" s="17">
        <f>VLOOKUP(A19,LiveData!A:F,6,0)</f>
        <v>4.01</v>
      </c>
      <c r="K19" s="17">
        <f t="shared" si="16"/>
        <v>886</v>
      </c>
      <c r="L19" s="34">
        <f t="shared" si="61"/>
        <v>895</v>
      </c>
      <c r="M19" s="18">
        <f t="shared" si="62"/>
        <v>894.75</v>
      </c>
      <c r="N19" s="34">
        <f t="shared" si="63"/>
        <v>893.75</v>
      </c>
      <c r="O19" s="18">
        <f t="shared" si="64"/>
        <v>893.5</v>
      </c>
      <c r="P19" s="19">
        <f t="shared" si="65"/>
        <v>892.75</v>
      </c>
      <c r="Q19" s="31">
        <f t="shared" si="66"/>
        <v>890.75</v>
      </c>
      <c r="R19" s="20">
        <f t="shared" si="67"/>
        <v>888.75</v>
      </c>
      <c r="S19" s="19">
        <f t="shared" si="68"/>
        <v>888</v>
      </c>
      <c r="T19" s="1">
        <f t="shared" si="69"/>
        <v>887.5</v>
      </c>
      <c r="U19" s="20">
        <f t="shared" si="70"/>
        <v>886.75</v>
      </c>
      <c r="V19" s="18">
        <f t="shared" si="71"/>
        <v>886.5</v>
      </c>
      <c r="W19" s="38"/>
      <c r="X19" s="34">
        <f t="shared" si="72"/>
        <v>877</v>
      </c>
      <c r="Y19" s="18">
        <f t="shared" si="73"/>
        <v>877.5</v>
      </c>
      <c r="Z19" s="34">
        <f t="shared" si="74"/>
        <v>878.25</v>
      </c>
      <c r="AA19" s="18">
        <f t="shared" si="75"/>
        <v>878.5</v>
      </c>
      <c r="AB19" s="19">
        <f t="shared" si="76"/>
        <v>879.25</v>
      </c>
      <c r="AC19" s="31">
        <f t="shared" si="77"/>
        <v>881.25</v>
      </c>
      <c r="AD19" s="20">
        <f t="shared" si="78"/>
        <v>883.25</v>
      </c>
      <c r="AE19" s="19">
        <f t="shared" si="79"/>
        <v>884</v>
      </c>
      <c r="AF19" s="41">
        <f t="shared" si="80"/>
        <v>884.5</v>
      </c>
      <c r="AG19" s="20">
        <f t="shared" si="81"/>
        <v>885.25</v>
      </c>
      <c r="AH19" s="18">
        <f t="shared" si="82"/>
        <v>885.5</v>
      </c>
      <c r="AK19" s="22"/>
    </row>
    <row r="20" spans="1:37" s="21" customFormat="1" x14ac:dyDescent="0.25">
      <c r="A20" s="13" t="s">
        <v>29</v>
      </c>
      <c r="B20" s="14" t="str">
        <f t="shared" si="12"/>
        <v/>
      </c>
      <c r="C20" s="15" t="str">
        <f t="shared" si="13"/>
        <v/>
      </c>
      <c r="D20" s="14" t="str">
        <f t="shared" si="14"/>
        <v>Sell</v>
      </c>
      <c r="E20" s="14">
        <f t="shared" si="15"/>
        <v>-10.5</v>
      </c>
      <c r="F20" s="16">
        <f>VLOOKUP(A20,LiveData!A:E,5,0)</f>
        <v>1852.5</v>
      </c>
      <c r="G20" s="17">
        <f>VLOOKUP(A20,LiveData!A:E,2,0)</f>
        <v>1870.1</v>
      </c>
      <c r="H20" s="17">
        <f>VLOOKUP(A20,LiveData!A:E,3,0)</f>
        <v>1870.3</v>
      </c>
      <c r="I20" s="17">
        <f>VLOOKUP(A20,LiveData!A:E,4,0)</f>
        <v>1851.15</v>
      </c>
      <c r="J20" s="17">
        <f>VLOOKUP(A20,LiveData!A:F,6,0)</f>
        <v>8.7200000000000006</v>
      </c>
      <c r="K20" s="17">
        <f t="shared" si="16"/>
        <v>1870.1</v>
      </c>
      <c r="L20" s="34">
        <f>MROUND(POWER(SQRT(K20)+$L$2,2),0.25)</f>
        <v>1911.75</v>
      </c>
      <c r="M20" s="18">
        <f>MROUND(POWER(SQRT(K20)+$M$2,2),0.25)</f>
        <v>1910</v>
      </c>
      <c r="N20" s="34">
        <f>MROUND(POWER(SQRT(K20)+$N$2,2),0.25)</f>
        <v>1906.25</v>
      </c>
      <c r="O20" s="18">
        <f>MROUND(POWER(SQRT(K20)+$O$2,2),0.25)</f>
        <v>1904.5</v>
      </c>
      <c r="P20" s="19">
        <f>MROUND(POWER(SQRT(K20)+$P$2,2),0.25)</f>
        <v>1900.75</v>
      </c>
      <c r="Q20" s="31">
        <f>MROUND(POWER(SQRT(K20)+$Q$2,2),0.25)</f>
        <v>1891.75</v>
      </c>
      <c r="R20" s="20">
        <f>MROUND(POWER(SQRT(K20)+$R$2,2),0.25)</f>
        <v>1882.75</v>
      </c>
      <c r="S20" s="19">
        <f>MROUND(POWER(SQRT(K20)+$S$2,2),0.25)</f>
        <v>1879</v>
      </c>
      <c r="T20" s="1">
        <f>MROUND(POWER(SQRT(K20)+$T$2,2),0.25)</f>
        <v>1877.25</v>
      </c>
      <c r="U20" s="20">
        <f>MROUND(POWER(SQRT(K20)+$U$2,2),0.25)</f>
        <v>1873.75</v>
      </c>
      <c r="V20" s="18">
        <f>MROUND(POWER(SQRT(K20)+$V$2,2),0.25)</f>
        <v>1872</v>
      </c>
      <c r="W20" s="38"/>
      <c r="X20" s="34">
        <f>MROUND(POWER(SQRT(K20)-$X$2,2),0.25)</f>
        <v>1829</v>
      </c>
      <c r="Y20" s="18">
        <f>MROUND(POWER(SQRT(K20)-$Y$2,2),0.25)</f>
        <v>1830.75</v>
      </c>
      <c r="Z20" s="34">
        <f>MROUND(POWER(SQRT(K20)-$Z$2,2),0.25)</f>
        <v>1834.25</v>
      </c>
      <c r="AA20" s="18">
        <f>MROUND(POWER(SQRT(K20)-$AA$2,2),0.25)</f>
        <v>1836</v>
      </c>
      <c r="AB20" s="19">
        <f>MROUND(POWER(SQRT(K20)-$AB$2,2),0.25)</f>
        <v>1839.5</v>
      </c>
      <c r="AC20" s="31">
        <f>MROUND(POWER(SQRT(K20)-$AC$2,2),0.25)</f>
        <v>1848.5</v>
      </c>
      <c r="AD20" s="20">
        <f>MROUND(POWER(SQRT(K20)-$AD$2,2),0.25)</f>
        <v>1857.5</v>
      </c>
      <c r="AE20" s="19">
        <f>MROUND(POWER(SQRT(K20)-$AE$2,2),0.25)</f>
        <v>1861</v>
      </c>
      <c r="AF20" s="41">
        <f>MROUND(POWER(SQRT(K20)-$AF$2,2),0.25)</f>
        <v>1863</v>
      </c>
      <c r="AG20" s="20">
        <f>MROUND(POWER(SQRT(K20)-$AG$2,2),0.25)</f>
        <v>1866.5</v>
      </c>
      <c r="AH20" s="18">
        <f>MROUND(POWER(SQRT(K20)-$AH$2,2),0.25)</f>
        <v>1868.25</v>
      </c>
      <c r="AK20" s="22"/>
    </row>
    <row r="21" spans="1:37" s="21" customFormat="1" x14ac:dyDescent="0.25">
      <c r="A21" s="13" t="s">
        <v>30</v>
      </c>
      <c r="B21" s="14" t="str">
        <f t="shared" si="12"/>
        <v/>
      </c>
      <c r="C21" s="15" t="str">
        <f t="shared" si="13"/>
        <v/>
      </c>
      <c r="D21" s="14" t="str">
        <f t="shared" si="14"/>
        <v>Sell</v>
      </c>
      <c r="E21" s="14">
        <f t="shared" si="15"/>
        <v>-24.400000000000091</v>
      </c>
      <c r="F21" s="16">
        <f>VLOOKUP(A21,LiveData!A:E,5,0)</f>
        <v>3778.35</v>
      </c>
      <c r="G21" s="17">
        <f>VLOOKUP(A21,LiveData!A:E,2,0)</f>
        <v>3813</v>
      </c>
      <c r="H21" s="17">
        <f>VLOOKUP(A21,LiveData!A:E,3,0)</f>
        <v>3834.4</v>
      </c>
      <c r="I21" s="17">
        <f>VLOOKUP(A21,LiveData!A:E,4,0)</f>
        <v>3757.05</v>
      </c>
      <c r="J21" s="17">
        <f>VLOOKUP(A21,LiveData!A:F,6,0)</f>
        <v>1.9</v>
      </c>
      <c r="K21" s="17">
        <f t="shared" si="16"/>
        <v>3813</v>
      </c>
      <c r="L21" s="34">
        <f>MROUND(POWER(SQRT(K21)+$L$2,2),0.25)</f>
        <v>3872.5</v>
      </c>
      <c r="M21" s="18">
        <f>MROUND(POWER(SQRT(K21)+$M$2,2),0.25)</f>
        <v>3869.75</v>
      </c>
      <c r="N21" s="34">
        <f>MROUND(POWER(SQRT(K21)+$N$2,2),0.25)</f>
        <v>3864.75</v>
      </c>
      <c r="O21" s="18">
        <f>MROUND(POWER(SQRT(K21)+$O$2,2),0.25)</f>
        <v>3862</v>
      </c>
      <c r="P21" s="19">
        <f>MROUND(POWER(SQRT(K21)+$P$2,2),0.25)</f>
        <v>3856.75</v>
      </c>
      <c r="Q21" s="31">
        <f>MROUND(POWER(SQRT(K21)+$Q$2,2),0.25)</f>
        <v>3844</v>
      </c>
      <c r="R21" s="20">
        <f>MROUND(POWER(SQRT(K21)+$R$2,2),0.25)</f>
        <v>3831</v>
      </c>
      <c r="S21" s="19">
        <f>MROUND(POWER(SQRT(K21)+$S$2,2),0.25)</f>
        <v>3826</v>
      </c>
      <c r="T21" s="1">
        <f>MROUND(POWER(SQRT(K21)+$T$2,2),0.25)</f>
        <v>3823.25</v>
      </c>
      <c r="U21" s="20">
        <f>MROUND(POWER(SQRT(K21)+$U$2,2),0.25)</f>
        <v>3818.25</v>
      </c>
      <c r="V21" s="18">
        <f>MROUND(POWER(SQRT(K21)+$V$2,2),0.25)</f>
        <v>3815.5</v>
      </c>
      <c r="W21" s="38"/>
      <c r="X21" s="34">
        <f>MROUND(POWER(SQRT(K21)-$X$2,2),0.25)</f>
        <v>3754</v>
      </c>
      <c r="Y21" s="18">
        <f>MROUND(POWER(SQRT(K21)-$Y$2,2),0.25)</f>
        <v>3756.5</v>
      </c>
      <c r="Z21" s="34">
        <f>MROUND(POWER(SQRT(K21)-$Z$2,2),0.25)</f>
        <v>3761.75</v>
      </c>
      <c r="AA21" s="18">
        <f>MROUND(POWER(SQRT(K21)-$AA$2,2),0.25)</f>
        <v>3764.25</v>
      </c>
      <c r="AB21" s="19">
        <f>MROUND(POWER(SQRT(K21)-$AB$2,2),0.25)</f>
        <v>3769.5</v>
      </c>
      <c r="AC21" s="31">
        <f>MROUND(POWER(SQRT(K21)-$AC$2,2),0.25)</f>
        <v>3782.25</v>
      </c>
      <c r="AD21" s="20">
        <f>MROUND(POWER(SQRT(K21)-$AD$2,2),0.25)</f>
        <v>3795</v>
      </c>
      <c r="AE21" s="19">
        <f>MROUND(POWER(SQRT(K21)-$AE$2,2),0.25)</f>
        <v>3800.25</v>
      </c>
      <c r="AF21" s="41">
        <f>MROUND(POWER(SQRT(K21)-$AF$2,2),0.25)</f>
        <v>3802.75</v>
      </c>
      <c r="AG21" s="20">
        <f>MROUND(POWER(SQRT(K21)-$AG$2,2),0.25)</f>
        <v>3807.75</v>
      </c>
      <c r="AH21" s="18">
        <f>MROUND(POWER(SQRT(K21)-$AH$2,2),0.25)</f>
        <v>3810.5</v>
      </c>
      <c r="AK21" s="22"/>
    </row>
    <row r="22" spans="1:37" s="21" customFormat="1" x14ac:dyDescent="0.25">
      <c r="A22" s="13" t="s">
        <v>31</v>
      </c>
      <c r="B22" s="14" t="str">
        <f t="shared" si="12"/>
        <v/>
      </c>
      <c r="C22" s="15" t="str">
        <f t="shared" si="13"/>
        <v/>
      </c>
      <c r="D22" s="14" t="str">
        <f t="shared" si="14"/>
        <v>Sell</v>
      </c>
      <c r="E22" s="14">
        <f t="shared" si="15"/>
        <v>-2.5</v>
      </c>
      <c r="F22" s="16">
        <f>VLOOKUP(A22,LiveData!A:E,5,0)</f>
        <v>265.5</v>
      </c>
      <c r="G22" s="17">
        <f>VLOOKUP(A22,LiveData!A:E,2,0)</f>
        <v>268.89999999999998</v>
      </c>
      <c r="H22" s="17">
        <v>266.60000000000002</v>
      </c>
      <c r="I22" s="17">
        <f>VLOOKUP(A22,LiveData!A:E,4,0)</f>
        <v>264.7</v>
      </c>
      <c r="J22" s="17">
        <f>VLOOKUP(A22,LiveData!A:F,6,0)</f>
        <v>63.52</v>
      </c>
      <c r="K22" s="17">
        <f t="shared" si="16"/>
        <v>268.89999999999998</v>
      </c>
      <c r="L22" s="34">
        <f t="shared" ref="L22:L23" si="83">MROUND((POWER(SQRT(K22*10)+$L$2,2))/10,0.25)</f>
        <v>274</v>
      </c>
      <c r="M22" s="18">
        <f t="shared" ref="M22:M23" si="84">MROUND((POWER(SQRT(K22*10)+$M$2,2))/10,0.25)</f>
        <v>273.75</v>
      </c>
      <c r="N22" s="34">
        <f t="shared" ref="N22:N23" si="85">MROUND((POWER(SQRT(K22*10)+$N$2,2))/10,0.25)</f>
        <v>273.25</v>
      </c>
      <c r="O22" s="18">
        <f t="shared" ref="O22:O23" si="86">MROUND((POWER(SQRT(K22*10)+$O$2,2))/10,0.25)</f>
        <v>273</v>
      </c>
      <c r="P22" s="19">
        <f t="shared" ref="P22:P23" si="87">MROUND((POWER(SQRT(K22*10)+$P$2,2))/10,0.25)</f>
        <v>272.5</v>
      </c>
      <c r="Q22" s="31">
        <f t="shared" ref="Q22:Q23" si="88">MROUND((POWER(SQRT(K22*10)+$Q$2,2))/10,0.25)</f>
        <v>271.5</v>
      </c>
      <c r="R22" s="20">
        <f t="shared" ref="R22:R23" si="89">MROUND((POWER(SQRT(K22*10)+$R$2,2))/10,0.25)</f>
        <v>270.5</v>
      </c>
      <c r="S22" s="19">
        <f t="shared" ref="S22:S23" si="90">MROUND((POWER(SQRT(K22*10)+$S$2,2))/10,0.25)</f>
        <v>270</v>
      </c>
      <c r="T22" s="1">
        <f t="shared" ref="T22:T23" si="91">MROUND((POWER(SQRT(K22*10)+$T$2,2))/10,0.25)</f>
        <v>269.75</v>
      </c>
      <c r="U22" s="20">
        <f t="shared" ref="U22:U23" si="92">MROUND((POWER(SQRT(K22*10)+$U$2,2))/10,0.25)</f>
        <v>269.25</v>
      </c>
      <c r="V22" s="18">
        <f t="shared" ref="V22:V23" si="93">MROUND((POWER(SQRT(K22*10)+$V$2,2))/10,0.25)</f>
        <v>269</v>
      </c>
      <c r="W22" s="38"/>
      <c r="X22" s="34">
        <f t="shared" ref="X22:X23" si="94">MROUND((POWER(SQRT(K22*10)-$X$2,2))/10,0.25)</f>
        <v>264</v>
      </c>
      <c r="Y22" s="18">
        <f t="shared" ref="Y22:Y23" si="95">MROUND((POWER(SQRT(K22*10)-$Y$2,2))/10,0.25)</f>
        <v>264.25</v>
      </c>
      <c r="Z22" s="34">
        <f t="shared" ref="Z22:Z23" si="96">MROUND((POWER(SQRT(K22*10)-$Z$2,2))/10,0.25)</f>
        <v>264.5</v>
      </c>
      <c r="AA22" s="18">
        <f t="shared" ref="AA22:AA23" si="97">MROUND((POWER(SQRT(K22*10)-$AA$2,2))/10,0.25)</f>
        <v>264.75</v>
      </c>
      <c r="AB22" s="19">
        <f t="shared" ref="AB22:AB23" si="98">MROUND((POWER(SQRT(K22*10)-$AB$2,2))/10,0.25)</f>
        <v>265.25</v>
      </c>
      <c r="AC22" s="31">
        <f t="shared" ref="AC22:AC23" si="99">MROUND((POWER(SQRT(K22*10)-$AC$2,2))/10,0.25)</f>
        <v>266.25</v>
      </c>
      <c r="AD22" s="20">
        <f t="shared" ref="AD22:AD23" si="100">MROUND((POWER(SQRT(K22*10)-$AD$2,2))/10,0.25)</f>
        <v>267.5</v>
      </c>
      <c r="AE22" s="19">
        <f t="shared" ref="AE22:AE23" si="101">MROUND((POWER(SQRT(K22*10)-$AE$2,2))/10,0.25)</f>
        <v>267.75</v>
      </c>
      <c r="AF22" s="41">
        <f t="shared" ref="AF22:AF23" si="102">MROUND((POWER(SQRT(K22*10)-$AF$2,2))/10,0.25)</f>
        <v>268</v>
      </c>
      <c r="AG22" s="20">
        <f t="shared" ref="AG22:AG23" si="103">MROUND((POWER(SQRT(K22*10)-$AG$2,2))/10,0.25)</f>
        <v>268.5</v>
      </c>
      <c r="AH22" s="18">
        <f t="shared" ref="AH22:AH23" si="104">MROUND((POWER(SQRT(K22*10)-$AH$2,2))/10,0.25)</f>
        <v>268.75</v>
      </c>
      <c r="AK22" s="22"/>
    </row>
    <row r="23" spans="1:37" s="21" customFormat="1" x14ac:dyDescent="0.25">
      <c r="A23" s="13" t="s">
        <v>32</v>
      </c>
      <c r="B23" s="14" t="str">
        <f t="shared" si="12"/>
        <v/>
      </c>
      <c r="C23" s="15" t="str">
        <f t="shared" si="13"/>
        <v/>
      </c>
      <c r="D23" s="14" t="str">
        <f t="shared" si="14"/>
        <v>Sell</v>
      </c>
      <c r="E23" s="14">
        <f t="shared" si="15"/>
        <v>-1.3500000000000227</v>
      </c>
      <c r="F23" s="16">
        <f>VLOOKUP(A23,LiveData!A:E,5,0)</f>
        <v>425.65</v>
      </c>
      <c r="G23" s="17">
        <f>VLOOKUP(A23,LiveData!A:E,2,0)</f>
        <v>428</v>
      </c>
      <c r="H23" s="17">
        <f>VLOOKUP(A23,LiveData!A:E,3,0)</f>
        <v>429.6</v>
      </c>
      <c r="I23" s="17">
        <f>VLOOKUP(A23,LiveData!A:E,4,0)</f>
        <v>423.35</v>
      </c>
      <c r="J23" s="17">
        <f>VLOOKUP(A23,LiveData!A:F,6,0)</f>
        <v>19.46</v>
      </c>
      <c r="K23" s="17">
        <f t="shared" si="16"/>
        <v>428</v>
      </c>
      <c r="L23" s="34">
        <f t="shared" si="83"/>
        <v>434.25</v>
      </c>
      <c r="M23" s="18">
        <f t="shared" si="84"/>
        <v>434</v>
      </c>
      <c r="N23" s="34">
        <f t="shared" si="85"/>
        <v>433.5</v>
      </c>
      <c r="O23" s="18">
        <f t="shared" si="86"/>
        <v>433.25</v>
      </c>
      <c r="P23" s="19">
        <f t="shared" si="87"/>
        <v>432.75</v>
      </c>
      <c r="Q23" s="31">
        <f t="shared" si="88"/>
        <v>431.25</v>
      </c>
      <c r="R23" s="20">
        <f t="shared" si="89"/>
        <v>430</v>
      </c>
      <c r="S23" s="19">
        <f t="shared" si="90"/>
        <v>429.25</v>
      </c>
      <c r="T23" s="1">
        <f t="shared" si="91"/>
        <v>429</v>
      </c>
      <c r="U23" s="20">
        <f t="shared" si="92"/>
        <v>428.5</v>
      </c>
      <c r="V23" s="18">
        <f t="shared" si="93"/>
        <v>428.25</v>
      </c>
      <c r="W23" s="38"/>
      <c r="X23" s="34">
        <f t="shared" si="94"/>
        <v>421.75</v>
      </c>
      <c r="Y23" s="18">
        <f t="shared" si="95"/>
        <v>422</v>
      </c>
      <c r="Z23" s="34">
        <f t="shared" si="96"/>
        <v>422.5</v>
      </c>
      <c r="AA23" s="18">
        <f t="shared" si="97"/>
        <v>422.75</v>
      </c>
      <c r="AB23" s="19">
        <f t="shared" si="98"/>
        <v>423.5</v>
      </c>
      <c r="AC23" s="31">
        <f t="shared" si="99"/>
        <v>424.75</v>
      </c>
      <c r="AD23" s="20">
        <f t="shared" si="100"/>
        <v>426</v>
      </c>
      <c r="AE23" s="19">
        <f t="shared" si="101"/>
        <v>426.75</v>
      </c>
      <c r="AF23" s="41">
        <f t="shared" si="102"/>
        <v>427</v>
      </c>
      <c r="AG23" s="20">
        <f t="shared" si="103"/>
        <v>427.5</v>
      </c>
      <c r="AH23" s="18">
        <f t="shared" si="104"/>
        <v>427.75</v>
      </c>
      <c r="AK23" s="22"/>
    </row>
    <row r="24" spans="1:37" s="21" customFormat="1" x14ac:dyDescent="0.25">
      <c r="A24" s="13" t="s">
        <v>33</v>
      </c>
      <c r="B24" s="14" t="str">
        <f t="shared" si="12"/>
        <v/>
      </c>
      <c r="C24" s="15" t="str">
        <f t="shared" si="13"/>
        <v/>
      </c>
      <c r="D24" s="14" t="str">
        <f t="shared" si="14"/>
        <v/>
      </c>
      <c r="E24" s="14" t="str">
        <f t="shared" si="15"/>
        <v/>
      </c>
      <c r="F24" s="16">
        <f>VLOOKUP(A24,LiveData!A:E,5,0)</f>
        <v>1349.1</v>
      </c>
      <c r="G24" s="17">
        <f>VLOOKUP(A24,LiveData!A:E,2,0)</f>
        <v>1350.8</v>
      </c>
      <c r="H24" s="17">
        <f>VLOOKUP(A24,LiveData!A:E,3,0)</f>
        <v>1364</v>
      </c>
      <c r="I24" s="17">
        <f>VLOOKUP(A24,LiveData!A:E,4,0)</f>
        <v>1342.65</v>
      </c>
      <c r="J24" s="17">
        <f>VLOOKUP(A24,LiveData!A:F,6,0)</f>
        <v>5.7</v>
      </c>
      <c r="K24" s="17">
        <f t="shared" si="16"/>
        <v>1350.8</v>
      </c>
      <c r="L24" s="34">
        <f>MROUND(POWER(SQRT(K24)+$L$2,2),0.25)</f>
        <v>1386.25</v>
      </c>
      <c r="M24" s="18">
        <f>MROUND(POWER(SQRT(K24)+$M$2,2),0.25)</f>
        <v>1384.75</v>
      </c>
      <c r="N24" s="34">
        <f>MROUND(POWER(SQRT(K24)+$N$2,2),0.25)</f>
        <v>1381.5</v>
      </c>
      <c r="O24" s="18">
        <f>MROUND(POWER(SQRT(K24)+$O$2,2),0.25)</f>
        <v>1380</v>
      </c>
      <c r="P24" s="19">
        <f>MROUND(POWER(SQRT(K24)+$P$2,2),0.25)</f>
        <v>1377</v>
      </c>
      <c r="Q24" s="31">
        <f>MROUND(POWER(SQRT(K24)+$Q$2,2),0.25)</f>
        <v>1369.25</v>
      </c>
      <c r="R24" s="20">
        <f>MROUND(POWER(SQRT(K24)+$R$2,2),0.25)</f>
        <v>1361.5</v>
      </c>
      <c r="S24" s="19">
        <f>MROUND(POWER(SQRT(K24)+$S$2,2),0.25)</f>
        <v>1358.5</v>
      </c>
      <c r="T24" s="1">
        <f>MROUND(POWER(SQRT(K24)+$T$2,2),0.25)</f>
        <v>1357</v>
      </c>
      <c r="U24" s="20">
        <f>MROUND(POWER(SQRT(K24)+$U$2,2),0.25)</f>
        <v>1353.75</v>
      </c>
      <c r="V24" s="18">
        <f>MROUND(POWER(SQRT(K24)+$V$2,2),0.25)</f>
        <v>1352.25</v>
      </c>
      <c r="W24" s="38"/>
      <c r="X24" s="34">
        <f>MROUND(POWER(SQRT(K24)-$X$2,2),0.25)</f>
        <v>1315.75</v>
      </c>
      <c r="Y24" s="18">
        <f>MROUND(POWER(SQRT(K24)-$Y$2,2),0.25)</f>
        <v>1317.25</v>
      </c>
      <c r="Z24" s="34">
        <f>MROUND(POWER(SQRT(K24)-$Z$2,2),0.25)</f>
        <v>1320.25</v>
      </c>
      <c r="AA24" s="18">
        <f>MROUND(POWER(SQRT(K24)-$AA$2,2),0.25)</f>
        <v>1321.75</v>
      </c>
      <c r="AB24" s="19">
        <f>MROUND(POWER(SQRT(K24)-$AB$2,2),0.25)</f>
        <v>1325</v>
      </c>
      <c r="AC24" s="31">
        <f>MROUND(POWER(SQRT(K24)-$AC$2,2),0.25)</f>
        <v>1332.5</v>
      </c>
      <c r="AD24" s="20">
        <f>MROUND(POWER(SQRT(K24)-$AD$2,2),0.25)</f>
        <v>1340</v>
      </c>
      <c r="AE24" s="19">
        <f>MROUND(POWER(SQRT(K24)-$AE$2,2),0.25)</f>
        <v>1343.25</v>
      </c>
      <c r="AF24" s="41">
        <f>MROUND(POWER(SQRT(K24)-$AF$2,2),0.25)</f>
        <v>1344.75</v>
      </c>
      <c r="AG24" s="20">
        <f>MROUND(POWER(SQRT(K24)-$AG$2,2),0.25)</f>
        <v>1347.75</v>
      </c>
      <c r="AH24" s="18">
        <f>MROUND(POWER(SQRT(K24)-$AH$2,2),0.25)</f>
        <v>1349.25</v>
      </c>
      <c r="AK24" s="22"/>
    </row>
    <row r="25" spans="1:37" s="21" customFormat="1" x14ac:dyDescent="0.25">
      <c r="A25" s="13" t="s">
        <v>3</v>
      </c>
      <c r="B25" s="14" t="str">
        <f t="shared" si="12"/>
        <v/>
      </c>
      <c r="C25" s="15" t="str">
        <f t="shared" si="13"/>
        <v/>
      </c>
      <c r="D25" s="14" t="str">
        <f t="shared" si="14"/>
        <v/>
      </c>
      <c r="E25" s="14" t="str">
        <f t="shared" si="15"/>
        <v/>
      </c>
      <c r="F25" s="16">
        <f>VLOOKUP(A25,LiveData!A:E,5,0)</f>
        <v>1705.55</v>
      </c>
      <c r="G25" s="17">
        <f>VLOOKUP(A25,LiveData!A:E,2,0)</f>
        <v>1710</v>
      </c>
      <c r="H25" s="17">
        <f>VLOOKUP(A25,LiveData!A:E,3,0)</f>
        <v>1715</v>
      </c>
      <c r="I25" s="17">
        <f>VLOOKUP(A25,LiveData!A:E,4,0)</f>
        <v>1705</v>
      </c>
      <c r="J25" s="17">
        <f>VLOOKUP(A25,LiveData!A:F,6,0)</f>
        <v>9.8699999999999992</v>
      </c>
      <c r="K25" s="17">
        <f t="shared" si="16"/>
        <v>1710</v>
      </c>
      <c r="L25" s="34">
        <f>MROUND(POWER(SQRT(K25)+$L$2,2),0.25)</f>
        <v>1749.75</v>
      </c>
      <c r="M25" s="18">
        <f>MROUND(POWER(SQRT(K25)+$M$2,2),0.25)</f>
        <v>1748</v>
      </c>
      <c r="N25" s="34">
        <f>MROUND(POWER(SQRT(K25)+$N$2,2),0.25)</f>
        <v>1744.75</v>
      </c>
      <c r="O25" s="18">
        <f>MROUND(POWER(SQRT(K25)+$O$2,2),0.25)</f>
        <v>1743</v>
      </c>
      <c r="P25" s="19">
        <f>MROUND(POWER(SQRT(K25)+$P$2,2),0.25)</f>
        <v>1739.5</v>
      </c>
      <c r="Q25" s="31">
        <f>MROUND(POWER(SQRT(K25)+$Q$2,2),0.25)</f>
        <v>1730.75</v>
      </c>
      <c r="R25" s="20">
        <f>MROUND(POWER(SQRT(K25)+$R$2,2),0.25)</f>
        <v>1722</v>
      </c>
      <c r="S25" s="19">
        <f>MROUND(POWER(SQRT(K25)+$S$2,2),0.25)</f>
        <v>1718.75</v>
      </c>
      <c r="T25" s="1">
        <f>MROUND(POWER(SQRT(K25)+$T$2,2),0.25)</f>
        <v>1717</v>
      </c>
      <c r="U25" s="20">
        <f>MROUND(POWER(SQRT(K25)+$U$2,2),0.25)</f>
        <v>1713.5</v>
      </c>
      <c r="V25" s="18">
        <f>MROUND(POWER(SQRT(K25)+$V$2,2),0.25)</f>
        <v>1711.75</v>
      </c>
      <c r="W25" s="38"/>
      <c r="X25" s="34">
        <f>MROUND(POWER(SQRT(K25)-$X$2,2),0.25)</f>
        <v>1670.5</v>
      </c>
      <c r="Y25" s="18">
        <f>MROUND(POWER(SQRT(K25)-$Y$2,2),0.25)</f>
        <v>1672.25</v>
      </c>
      <c r="Z25" s="34">
        <f>MROUND(POWER(SQRT(K25)-$Z$2,2),0.25)</f>
        <v>1675.75</v>
      </c>
      <c r="AA25" s="18">
        <f>MROUND(POWER(SQRT(K25)-$AA$2,2),0.25)</f>
        <v>1677.5</v>
      </c>
      <c r="AB25" s="19">
        <f>MROUND(POWER(SQRT(K25)-$AB$2,2),0.25)</f>
        <v>1680.75</v>
      </c>
      <c r="AC25" s="31">
        <f>MROUND(POWER(SQRT(K25)-$AC$2,2),0.25)</f>
        <v>1689.5</v>
      </c>
      <c r="AD25" s="20">
        <f>MROUND(POWER(SQRT(K25)-$AD$2,2),0.25)</f>
        <v>1698</v>
      </c>
      <c r="AE25" s="19">
        <f>MROUND(POWER(SQRT(K25)-$AE$2,2),0.25)</f>
        <v>1701.5</v>
      </c>
      <c r="AF25" s="41">
        <f>MROUND(POWER(SQRT(K25)-$AF$2,2),0.25)</f>
        <v>1703</v>
      </c>
      <c r="AG25" s="20">
        <f>MROUND(POWER(SQRT(K25)-$AG$2,2),0.25)</f>
        <v>1706.5</v>
      </c>
      <c r="AH25" s="18">
        <f>MROUND(POWER(SQRT(K25)-$AH$2,2),0.25)</f>
        <v>1708.25</v>
      </c>
      <c r="AK25" s="22"/>
    </row>
    <row r="26" spans="1:37" s="21" customFormat="1" x14ac:dyDescent="0.25">
      <c r="A26" s="13" t="s">
        <v>5</v>
      </c>
      <c r="B26" s="14" t="str">
        <f t="shared" si="12"/>
        <v/>
      </c>
      <c r="C26" s="15" t="str">
        <f t="shared" si="13"/>
        <v/>
      </c>
      <c r="D26" s="14" t="str">
        <f t="shared" si="14"/>
        <v>Sell</v>
      </c>
      <c r="E26" s="14">
        <f t="shared" si="15"/>
        <v>-0.94999999999998863</v>
      </c>
      <c r="F26" s="16">
        <f>VLOOKUP(A26,LiveData!A:E,5,0)</f>
        <v>262.3</v>
      </c>
      <c r="G26" s="17">
        <f>VLOOKUP(A26,LiveData!A:E,2,0)</f>
        <v>264.2</v>
      </c>
      <c r="H26" s="17">
        <f>VLOOKUP(A26,LiveData!A:E,3,0)</f>
        <v>264.3</v>
      </c>
      <c r="I26" s="17">
        <f>VLOOKUP(A26,LiveData!A:E,4,0)</f>
        <v>261.64999999999998</v>
      </c>
      <c r="J26" s="17">
        <f>VLOOKUP(A26,LiveData!A:F,6,0)</f>
        <v>60.91</v>
      </c>
      <c r="K26" s="17">
        <f t="shared" si="16"/>
        <v>264.2</v>
      </c>
      <c r="L26" s="34">
        <f t="shared" ref="L26:L27" si="105">MROUND((POWER(SQRT(K26*10)+$L$2,2))/10,0.25)</f>
        <v>269.25</v>
      </c>
      <c r="M26" s="18">
        <f t="shared" ref="M26:M27" si="106">MROUND((POWER(SQRT(K26*10)+$M$2,2))/10,0.25)</f>
        <v>269</v>
      </c>
      <c r="N26" s="34">
        <f t="shared" ref="N26:N27" si="107">MROUND((POWER(SQRT(K26*10)+$N$2,2))/10,0.25)</f>
        <v>268.5</v>
      </c>
      <c r="O26" s="18">
        <f t="shared" ref="O26:O27" si="108">MROUND((POWER(SQRT(K26*10)+$O$2,2))/10,0.25)</f>
        <v>268.25</v>
      </c>
      <c r="P26" s="19">
        <f t="shared" ref="P26:P27" si="109">MROUND((POWER(SQRT(K26*10)+$P$2,2))/10,0.25)</f>
        <v>267.75</v>
      </c>
      <c r="Q26" s="31">
        <f t="shared" ref="Q26:Q27" si="110">MROUND((POWER(SQRT(K26*10)+$Q$2,2))/10,0.25)</f>
        <v>266.75</v>
      </c>
      <c r="R26" s="20">
        <f t="shared" ref="R26:R27" si="111">MROUND((POWER(SQRT(K26*10)+$R$2,2))/10,0.25)</f>
        <v>265.75</v>
      </c>
      <c r="S26" s="19">
        <f t="shared" ref="S26:S27" si="112">MROUND((POWER(SQRT(K26*10)+$S$2,2))/10,0.25)</f>
        <v>265.25</v>
      </c>
      <c r="T26" s="1">
        <f t="shared" ref="T26:T27" si="113">MROUND((POWER(SQRT(K26*10)+$T$2,2))/10,0.25)</f>
        <v>265</v>
      </c>
      <c r="U26" s="20">
        <f t="shared" ref="U26:U27" si="114">MROUND((POWER(SQRT(K26*10)+$U$2,2))/10,0.25)</f>
        <v>264.75</v>
      </c>
      <c r="V26" s="18">
        <f t="shared" ref="V26:V27" si="115">MROUND((POWER(SQRT(K26*10)+$V$2,2))/10,0.25)</f>
        <v>264.5</v>
      </c>
      <c r="W26" s="38"/>
      <c r="X26" s="34">
        <f t="shared" ref="X26:X27" si="116">MROUND((POWER(SQRT(K26*10)-$X$2,2))/10,0.25)</f>
        <v>259.25</v>
      </c>
      <c r="Y26" s="18">
        <f t="shared" ref="Y26:Y27" si="117">MROUND((POWER(SQRT(K26*10)-$Y$2,2))/10,0.25)</f>
        <v>259.5</v>
      </c>
      <c r="Z26" s="34">
        <f t="shared" ref="Z26:Z27" si="118">MROUND((POWER(SQRT(K26*10)-$Z$2,2))/10,0.25)</f>
        <v>260</v>
      </c>
      <c r="AA26" s="18">
        <f t="shared" ref="AA26:AA27" si="119">MROUND((POWER(SQRT(K26*10)-$AA$2,2))/10,0.25)</f>
        <v>260.25</v>
      </c>
      <c r="AB26" s="19">
        <f t="shared" ref="AB26:AB27" si="120">MROUND((POWER(SQRT(K26*10)-$AB$2,2))/10,0.25)</f>
        <v>260.5</v>
      </c>
      <c r="AC26" s="31">
        <f t="shared" ref="AC26:AC27" si="121">MROUND((POWER(SQRT(K26*10)-$AC$2,2))/10,0.25)</f>
        <v>261.75</v>
      </c>
      <c r="AD26" s="20">
        <f t="shared" ref="AD26:AD27" si="122">MROUND((POWER(SQRT(K26*10)-$AD$2,2))/10,0.25)</f>
        <v>262.75</v>
      </c>
      <c r="AE26" s="19">
        <f t="shared" ref="AE26:AE27" si="123">MROUND((POWER(SQRT(K26*10)-$AE$2,2))/10,0.25)</f>
        <v>263.25</v>
      </c>
      <c r="AF26" s="41">
        <f t="shared" ref="AF26:AF27" si="124">MROUND((POWER(SQRT(K26*10)-$AF$2,2))/10,0.25)</f>
        <v>263.25</v>
      </c>
      <c r="AG26" s="20">
        <f t="shared" ref="AG26:AG27" si="125">MROUND((POWER(SQRT(K26*10)-$AG$2,2))/10,0.25)</f>
        <v>263.75</v>
      </c>
      <c r="AH26" s="18">
        <f t="shared" ref="AH26:AH27" si="126">MROUND((POWER(SQRT(K26*10)-$AH$2,2))/10,0.25)</f>
        <v>264</v>
      </c>
      <c r="AK26" s="22"/>
    </row>
    <row r="27" spans="1:37" s="21" customFormat="1" x14ac:dyDescent="0.25">
      <c r="A27" s="13" t="s">
        <v>34</v>
      </c>
      <c r="B27" s="14" t="str">
        <f t="shared" si="12"/>
        <v/>
      </c>
      <c r="C27" s="15" t="str">
        <f t="shared" si="13"/>
        <v/>
      </c>
      <c r="D27" s="14" t="str">
        <f t="shared" si="14"/>
        <v>Sell</v>
      </c>
      <c r="E27" s="14">
        <f t="shared" si="15"/>
        <v>-2.5</v>
      </c>
      <c r="F27" s="16">
        <f>VLOOKUP(A27,LiveData!A:E,5,0)</f>
        <v>312.5</v>
      </c>
      <c r="G27" s="17">
        <f>VLOOKUP(A27,LiveData!A:E,2,0)</f>
        <v>315.95</v>
      </c>
      <c r="H27" s="17">
        <f>VLOOKUP(A27,LiveData!A:E,3,0)</f>
        <v>317.89999999999998</v>
      </c>
      <c r="I27" s="17">
        <f>VLOOKUP(A27,LiveData!A:E,4,0)</f>
        <v>312.10000000000002</v>
      </c>
      <c r="J27" s="17">
        <f>VLOOKUP(A27,LiveData!A:F,6,0)</f>
        <v>63.55</v>
      </c>
      <c r="K27" s="17">
        <f t="shared" si="16"/>
        <v>315.95</v>
      </c>
      <c r="L27" s="34">
        <f t="shared" si="105"/>
        <v>321.25</v>
      </c>
      <c r="M27" s="18">
        <f t="shared" si="106"/>
        <v>321</v>
      </c>
      <c r="N27" s="34">
        <f t="shared" si="107"/>
        <v>320.75</v>
      </c>
      <c r="O27" s="18">
        <f t="shared" si="108"/>
        <v>320.5</v>
      </c>
      <c r="P27" s="19">
        <f t="shared" si="109"/>
        <v>320</v>
      </c>
      <c r="Q27" s="31">
        <f t="shared" si="110"/>
        <v>318.75</v>
      </c>
      <c r="R27" s="20">
        <f t="shared" si="111"/>
        <v>317.5</v>
      </c>
      <c r="S27" s="19">
        <f t="shared" si="112"/>
        <v>317</v>
      </c>
      <c r="T27" s="1">
        <f t="shared" si="113"/>
        <v>317</v>
      </c>
      <c r="U27" s="20">
        <f t="shared" si="114"/>
        <v>316.5</v>
      </c>
      <c r="V27" s="18">
        <f t="shared" si="115"/>
        <v>316.25</v>
      </c>
      <c r="W27" s="38"/>
      <c r="X27" s="34">
        <f t="shared" si="116"/>
        <v>310.5</v>
      </c>
      <c r="Y27" s="18">
        <f t="shared" si="117"/>
        <v>310.75</v>
      </c>
      <c r="Z27" s="34">
        <f t="shared" si="118"/>
        <v>311.25</v>
      </c>
      <c r="AA27" s="18">
        <f t="shared" si="119"/>
        <v>311.5</v>
      </c>
      <c r="AB27" s="19">
        <f t="shared" si="120"/>
        <v>312</v>
      </c>
      <c r="AC27" s="31">
        <f t="shared" si="121"/>
        <v>313.25</v>
      </c>
      <c r="AD27" s="20">
        <f t="shared" si="122"/>
        <v>314.25</v>
      </c>
      <c r="AE27" s="19">
        <f t="shared" si="123"/>
        <v>314.75</v>
      </c>
      <c r="AF27" s="41">
        <f t="shared" si="124"/>
        <v>315</v>
      </c>
      <c r="AG27" s="20">
        <f t="shared" si="125"/>
        <v>315.5</v>
      </c>
      <c r="AH27" s="18">
        <f t="shared" si="126"/>
        <v>315.75</v>
      </c>
      <c r="AK27" s="22"/>
    </row>
    <row r="28" spans="1:37" s="21" customFormat="1" x14ac:dyDescent="0.25">
      <c r="A28" s="13" t="s">
        <v>35</v>
      </c>
      <c r="B28" s="14" t="str">
        <f t="shared" si="12"/>
        <v/>
      </c>
      <c r="C28" s="15" t="str">
        <f t="shared" si="13"/>
        <v/>
      </c>
      <c r="D28" s="14" t="str">
        <f t="shared" si="14"/>
        <v>Sell</v>
      </c>
      <c r="E28" s="14">
        <f t="shared" si="15"/>
        <v>-5.25</v>
      </c>
      <c r="F28" s="16">
        <f>VLOOKUP(A28,LiveData!A:E,5,0)</f>
        <v>1188</v>
      </c>
      <c r="G28" s="17">
        <f>VLOOKUP(A28,LiveData!A:E,2,0)</f>
        <v>1199</v>
      </c>
      <c r="H28" s="17">
        <f>VLOOKUP(A28,LiveData!A:E,3,0)</f>
        <v>1201.95</v>
      </c>
      <c r="I28" s="17">
        <f>VLOOKUP(A28,LiveData!A:E,4,0)</f>
        <v>1187.8</v>
      </c>
      <c r="J28" s="17">
        <f>VLOOKUP(A28,LiveData!A:F,6,0)</f>
        <v>4.6900000000000004</v>
      </c>
      <c r="K28" s="17">
        <f t="shared" si="16"/>
        <v>1199</v>
      </c>
      <c r="L28" s="34">
        <f>MROUND(POWER(SQRT(K28)+$L$2,2),0.25)</f>
        <v>1232.5</v>
      </c>
      <c r="M28" s="18">
        <f>MROUND(POWER(SQRT(K28)+$M$2,2),0.25)</f>
        <v>1231</v>
      </c>
      <c r="N28" s="34">
        <f>MROUND(POWER(SQRT(K28)+$N$2,2),0.25)</f>
        <v>1228</v>
      </c>
      <c r="O28" s="18">
        <f>MROUND(POWER(SQRT(K28)+$O$2,2),0.25)</f>
        <v>1226.5</v>
      </c>
      <c r="P28" s="19">
        <f>MROUND(POWER(SQRT(K28)+$P$2,2),0.25)</f>
        <v>1223.75</v>
      </c>
      <c r="Q28" s="31">
        <f>MROUND(POWER(SQRT(K28)+$Q$2,2),0.25)</f>
        <v>1216.5</v>
      </c>
      <c r="R28" s="20">
        <f>MROUND(POWER(SQRT(K28)+$R$2,2),0.25)</f>
        <v>1209</v>
      </c>
      <c r="S28" s="19">
        <f>MROUND(POWER(SQRT(K28)+$S$2,2),0.25)</f>
        <v>1206.25</v>
      </c>
      <c r="T28" s="1">
        <f>MROUND(POWER(SQRT(K28)+$T$2,2),0.25)</f>
        <v>1204.75</v>
      </c>
      <c r="U28" s="20">
        <f>MROUND(POWER(SQRT(K28)+$U$2,2),0.25)</f>
        <v>1202</v>
      </c>
      <c r="V28" s="18">
        <f>MROUND(POWER(SQRT(K28)+$V$2,2),0.25)</f>
        <v>1200.5</v>
      </c>
      <c r="W28" s="38"/>
      <c r="X28" s="34">
        <f>MROUND(POWER(SQRT(K28)-$X$2,2),0.25)</f>
        <v>1166</v>
      </c>
      <c r="Y28" s="18">
        <f>MROUND(POWER(SQRT(K28)-$Y$2,2),0.25)</f>
        <v>1167.5</v>
      </c>
      <c r="Z28" s="34">
        <f>MROUND(POWER(SQRT(K28)-$Z$2,2),0.25)</f>
        <v>1170.25</v>
      </c>
      <c r="AA28" s="18">
        <f>MROUND(POWER(SQRT(K28)-$AA$2,2),0.25)</f>
        <v>1171.75</v>
      </c>
      <c r="AB28" s="19">
        <f>MROUND(POWER(SQRT(K28)-$AB$2,2),0.25)</f>
        <v>1174.5</v>
      </c>
      <c r="AC28" s="31">
        <f>MROUND(POWER(SQRT(K28)-$AC$2,2),0.25)</f>
        <v>1181.75</v>
      </c>
      <c r="AD28" s="20">
        <f>MROUND(POWER(SQRT(K28)-$AD$2,2),0.25)</f>
        <v>1189</v>
      </c>
      <c r="AE28" s="19">
        <f>MROUND(POWER(SQRT(K28)-$AE$2,2),0.25)</f>
        <v>1191.75</v>
      </c>
      <c r="AF28" s="41">
        <f>MROUND(POWER(SQRT(K28)-$AF$2,2),0.25)</f>
        <v>1193.25</v>
      </c>
      <c r="AG28" s="20">
        <f>MROUND(POWER(SQRT(K28)-$AG$2,2),0.25)</f>
        <v>1196</v>
      </c>
      <c r="AH28" s="18">
        <f>MROUND(POWER(SQRT(K28)-$AH$2,2),0.25)</f>
        <v>1197.5</v>
      </c>
      <c r="AK28" s="22"/>
    </row>
    <row r="29" spans="1:37" s="21" customFormat="1" x14ac:dyDescent="0.25">
      <c r="A29" s="13" t="s">
        <v>4</v>
      </c>
      <c r="B29" s="14" t="str">
        <f t="shared" si="12"/>
        <v/>
      </c>
      <c r="C29" s="15" t="str">
        <f t="shared" si="13"/>
        <v/>
      </c>
      <c r="D29" s="14" t="str">
        <f t="shared" si="14"/>
        <v>Sell</v>
      </c>
      <c r="E29" s="14">
        <f t="shared" si="15"/>
        <v>-6</v>
      </c>
      <c r="F29" s="16">
        <f>VLOOKUP(A29,LiveData!A:E,5,0)</f>
        <v>401</v>
      </c>
      <c r="G29" s="17">
        <f>VLOOKUP(A29,LiveData!A:E,2,0)</f>
        <v>408</v>
      </c>
      <c r="H29" s="17">
        <f>VLOOKUP(A29,LiveData!A:E,3,0)</f>
        <v>408.95</v>
      </c>
      <c r="I29" s="17">
        <f>VLOOKUP(A29,LiveData!A:E,4,0)</f>
        <v>400.2</v>
      </c>
      <c r="J29" s="17">
        <f>VLOOKUP(A29,LiveData!A:F,6,0)</f>
        <v>31.41</v>
      </c>
      <c r="K29" s="17">
        <f t="shared" si="16"/>
        <v>408</v>
      </c>
      <c r="L29" s="34">
        <f>MROUND((POWER(SQRT(K29*10)+$L$2,2))/10,0.25)</f>
        <v>414.25</v>
      </c>
      <c r="M29" s="18">
        <f>MROUND((POWER(SQRT(K29*10)+$M$2,2))/10,0.25)</f>
        <v>414</v>
      </c>
      <c r="N29" s="34">
        <f>MROUND((POWER(SQRT(K29*10)+$N$2,2))/10,0.25)</f>
        <v>413.25</v>
      </c>
      <c r="O29" s="18">
        <f>MROUND((POWER(SQRT(K29*10)+$O$2,2))/10,0.25)</f>
        <v>413</v>
      </c>
      <c r="P29" s="19">
        <f>MROUND((POWER(SQRT(K29*10)+$P$2,2))/10,0.25)</f>
        <v>412.5</v>
      </c>
      <c r="Q29" s="31">
        <f>MROUND((POWER(SQRT(K29*10)+$Q$2,2))/10,0.25)</f>
        <v>411.25</v>
      </c>
      <c r="R29" s="20">
        <f>MROUND((POWER(SQRT(K29*10)+$R$2,2))/10,0.25)</f>
        <v>409.75</v>
      </c>
      <c r="S29" s="19">
        <f>MROUND((POWER(SQRT(K29*10)+$S$2,2))/10,0.25)</f>
        <v>409.25</v>
      </c>
      <c r="T29" s="1">
        <f>MROUND((POWER(SQRT(K29*10)+$T$2,2))/10,0.25)</f>
        <v>409</v>
      </c>
      <c r="U29" s="20">
        <f>MROUND((POWER(SQRT(K29*10)+$U$2,2))/10,0.25)</f>
        <v>408.5</v>
      </c>
      <c r="V29" s="18">
        <f>MROUND((POWER(SQRT(K29*10)+$V$2,2))/10,0.25)</f>
        <v>408.25</v>
      </c>
      <c r="W29" s="38"/>
      <c r="X29" s="34">
        <f>MROUND((POWER(SQRT(K29*10)-$X$2,2))/10,0.25)</f>
        <v>402</v>
      </c>
      <c r="Y29" s="18">
        <f>MROUND((POWER(SQRT(K29*10)-$Y$2,2))/10,0.25)</f>
        <v>402.25</v>
      </c>
      <c r="Z29" s="34">
        <f>MROUND((POWER(SQRT(K29*10)-$Z$2,2))/10,0.25)</f>
        <v>402.75</v>
      </c>
      <c r="AA29" s="18">
        <f>MROUND((POWER(SQRT(K29*10)-$AA$2,2))/10,0.25)</f>
        <v>403</v>
      </c>
      <c r="AB29" s="19">
        <f>MROUND((POWER(SQRT(K29*10)-$AB$2,2))/10,0.25)</f>
        <v>403.5</v>
      </c>
      <c r="AC29" s="31">
        <f>MROUND((POWER(SQRT(K29*10)-$AC$2,2))/10,0.25)</f>
        <v>404.75</v>
      </c>
      <c r="AD29" s="20">
        <f>MROUND((POWER(SQRT(K29*10)-$AD$2,2))/10,0.25)</f>
        <v>406.25</v>
      </c>
      <c r="AE29" s="19">
        <f>MROUND((POWER(SQRT(K29*10)-$AE$2,2))/10,0.25)</f>
        <v>406.75</v>
      </c>
      <c r="AF29" s="41">
        <f>MROUND((POWER(SQRT(K29*10)-$AF$2,2))/10,0.25)</f>
        <v>407</v>
      </c>
      <c r="AG29" s="20">
        <f>MROUND((POWER(SQRT(K29*10)-$AG$2,2))/10,0.25)</f>
        <v>407.5</v>
      </c>
      <c r="AH29" s="18">
        <f>MROUND((POWER(SQRT(K29*10)-$AH$2,2))/10,0.25)</f>
        <v>407.75</v>
      </c>
      <c r="AK29" s="22"/>
    </row>
    <row r="30" spans="1:37" s="21" customFormat="1" x14ac:dyDescent="0.25">
      <c r="A30" s="13" t="s">
        <v>36</v>
      </c>
      <c r="B30" s="14" t="str">
        <f t="shared" si="12"/>
        <v/>
      </c>
      <c r="C30" s="15" t="str">
        <f t="shared" si="13"/>
        <v/>
      </c>
      <c r="D30" s="14" t="str">
        <f t="shared" si="14"/>
        <v>Sell</v>
      </c>
      <c r="E30" s="14">
        <f t="shared" si="15"/>
        <v>-10.75</v>
      </c>
      <c r="F30" s="16">
        <f>VLOOKUP(A30,LiveData!A:E,5,0)</f>
        <v>1650</v>
      </c>
      <c r="G30" s="17">
        <f>VLOOKUP(A30,LiveData!A:E,2,0)</f>
        <v>1667.5</v>
      </c>
      <c r="H30" s="17">
        <f>VLOOKUP(A30,LiveData!A:E,3,0)</f>
        <v>1669.9</v>
      </c>
      <c r="I30" s="17">
        <f>VLOOKUP(A30,LiveData!A:E,4,0)</f>
        <v>1648.85</v>
      </c>
      <c r="J30" s="17">
        <f>VLOOKUP(A30,LiveData!A:F,6,0)</f>
        <v>6.25</v>
      </c>
      <c r="K30" s="17">
        <f t="shared" si="16"/>
        <v>1667.5</v>
      </c>
      <c r="L30" s="34">
        <f>MROUND(POWER(SQRT(K30)+$L$2,2),0.25)</f>
        <v>1706.75</v>
      </c>
      <c r="M30" s="18">
        <f>MROUND(POWER(SQRT(K30)+$M$2,2),0.25)</f>
        <v>1705.25</v>
      </c>
      <c r="N30" s="34">
        <f>MROUND(POWER(SQRT(K30)+$N$2,2),0.25)</f>
        <v>1701.75</v>
      </c>
      <c r="O30" s="18">
        <f>MROUND(POWER(SQRT(K30)+$O$2,2),0.25)</f>
        <v>1700</v>
      </c>
      <c r="P30" s="19">
        <f>MROUND(POWER(SQRT(K30)+$P$2,2),0.25)</f>
        <v>1696.5</v>
      </c>
      <c r="Q30" s="31">
        <f>MROUND(POWER(SQRT(K30)+$Q$2,2),0.25)</f>
        <v>1688</v>
      </c>
      <c r="R30" s="20">
        <f>MROUND(POWER(SQRT(K30)+$R$2,2),0.25)</f>
        <v>1679.5</v>
      </c>
      <c r="S30" s="19">
        <f>MROUND(POWER(SQRT(K30)+$S$2,2),0.25)</f>
        <v>1676</v>
      </c>
      <c r="T30" s="1">
        <f>MROUND(POWER(SQRT(K30)+$T$2,2),0.25)</f>
        <v>1674.25</v>
      </c>
      <c r="U30" s="20">
        <f>MROUND(POWER(SQRT(K30)+$U$2,2),0.25)</f>
        <v>1671</v>
      </c>
      <c r="V30" s="18">
        <f>MROUND(POWER(SQRT(K30)+$V$2,2),0.25)</f>
        <v>1669.25</v>
      </c>
      <c r="W30" s="38"/>
      <c r="X30" s="34">
        <f>MROUND(POWER(SQRT(K30)-$X$2,2),0.25)</f>
        <v>1628.5</v>
      </c>
      <c r="Y30" s="18">
        <f>MROUND(POWER(SQRT(K30)-$Y$2,2),0.25)</f>
        <v>1630.25</v>
      </c>
      <c r="Z30" s="34">
        <f>MROUND(POWER(SQRT(K30)-$Z$2,2),0.25)</f>
        <v>1633.75</v>
      </c>
      <c r="AA30" s="18">
        <f>MROUND(POWER(SQRT(K30)-$AA$2,2),0.25)</f>
        <v>1635.25</v>
      </c>
      <c r="AB30" s="19">
        <f>MROUND(POWER(SQRT(K30)-$AB$2,2),0.25)</f>
        <v>1638.75</v>
      </c>
      <c r="AC30" s="31">
        <f>MROUND(POWER(SQRT(K30)-$AC$2,2),0.25)</f>
        <v>1647.25</v>
      </c>
      <c r="AD30" s="20">
        <f>MROUND(POWER(SQRT(K30)-$AD$2,2),0.25)</f>
        <v>1655.5</v>
      </c>
      <c r="AE30" s="19">
        <f>MROUND(POWER(SQRT(K30)-$AE$2,2),0.25)</f>
        <v>1659</v>
      </c>
      <c r="AF30" s="41">
        <f>MROUND(POWER(SQRT(K30)-$AF$2,2),0.25)</f>
        <v>1660.75</v>
      </c>
      <c r="AG30" s="20">
        <f>MROUND(POWER(SQRT(K30)-$AG$2,2),0.25)</f>
        <v>1664</v>
      </c>
      <c r="AH30" s="18">
        <f>MROUND(POWER(SQRT(K30)-$AH$2,2),0.25)</f>
        <v>1665.75</v>
      </c>
      <c r="AK30" s="22"/>
    </row>
    <row r="31" spans="1:37" s="21" customFormat="1" x14ac:dyDescent="0.25">
      <c r="A31" s="13" t="s">
        <v>37</v>
      </c>
      <c r="B31" s="14" t="str">
        <f t="shared" si="12"/>
        <v>Buy</v>
      </c>
      <c r="C31" s="15">
        <f t="shared" si="13"/>
        <v>0.75</v>
      </c>
      <c r="D31" s="14" t="str">
        <f t="shared" si="14"/>
        <v/>
      </c>
      <c r="E31" s="14" t="str">
        <f t="shared" si="15"/>
        <v/>
      </c>
      <c r="F31" s="16">
        <f>VLOOKUP(A31,LiveData!A:E,5,0)</f>
        <v>1034</v>
      </c>
      <c r="G31" s="17">
        <f>VLOOKUP(A31,LiveData!A:E,2,0)</f>
        <v>1028</v>
      </c>
      <c r="H31" s="17">
        <f>VLOOKUP(A31,LiveData!A:E,3,0)</f>
        <v>1039.0999999999999</v>
      </c>
      <c r="I31" s="17">
        <f>VLOOKUP(A31,LiveData!A:E,4,0)</f>
        <v>1027.4000000000001</v>
      </c>
      <c r="J31" s="17">
        <f>VLOOKUP(A31,LiveData!A:F,6,0)</f>
        <v>34.85</v>
      </c>
      <c r="K31" s="17">
        <f t="shared" si="16"/>
        <v>1028</v>
      </c>
      <c r="L31" s="34">
        <f>MROUND(POWER(SQRT(K31)+$L$2,2),0.25)</f>
        <v>1059</v>
      </c>
      <c r="M31" s="18">
        <f>MROUND(POWER(SQRT(K31)+$M$2,2),0.25)</f>
        <v>1057.5</v>
      </c>
      <c r="N31" s="34">
        <f>MROUND(POWER(SQRT(K31)+$N$2,2),0.25)</f>
        <v>1055</v>
      </c>
      <c r="O31" s="18">
        <f>MROUND(POWER(SQRT(K31)+$O$2,2),0.25)</f>
        <v>1053.5</v>
      </c>
      <c r="P31" s="19">
        <f>MROUND(POWER(SQRT(K31)+$P$2,2),0.25)</f>
        <v>1050.75</v>
      </c>
      <c r="Q31" s="31">
        <f>MROUND(POWER(SQRT(K31)+$Q$2,2),0.25)</f>
        <v>1044</v>
      </c>
      <c r="R31" s="20">
        <f>MROUND(POWER(SQRT(K31)+$R$2,2),0.25)</f>
        <v>1037.25</v>
      </c>
      <c r="S31" s="19">
        <f>MROUND(POWER(SQRT(K31)+$S$2,2),0.25)</f>
        <v>1034.75</v>
      </c>
      <c r="T31" s="1">
        <f>MROUND(POWER(SQRT(K31)+$T$2,2),0.25)</f>
        <v>1033.25</v>
      </c>
      <c r="U31" s="20">
        <f>MROUND(POWER(SQRT(K31)+$U$2,2),0.25)</f>
        <v>1030.75</v>
      </c>
      <c r="V31" s="18">
        <f>MROUND(POWER(SQRT(K31)+$V$2,2),0.25)</f>
        <v>1029.25</v>
      </c>
      <c r="W31" s="38"/>
      <c r="X31" s="34">
        <f>MROUND(POWER(SQRT(K31)-$X$2,2),0.25)</f>
        <v>997.5</v>
      </c>
      <c r="Y31" s="18">
        <f>MROUND(POWER(SQRT(K31)-$Y$2,2),0.25)</f>
        <v>998.75</v>
      </c>
      <c r="Z31" s="34">
        <f>MROUND(POWER(SQRT(K31)-$Z$2,2),0.25)</f>
        <v>1001.5</v>
      </c>
      <c r="AA31" s="18">
        <f>MROUND(POWER(SQRT(K31)-$AA$2,2),0.25)</f>
        <v>1002.75</v>
      </c>
      <c r="AB31" s="19">
        <f>MROUND(POWER(SQRT(K31)-$AB$2,2),0.25)</f>
        <v>1005.5</v>
      </c>
      <c r="AC31" s="31">
        <f>MROUND(POWER(SQRT(K31)-$AC$2,2),0.25)</f>
        <v>1012</v>
      </c>
      <c r="AD31" s="20">
        <f>MROUND(POWER(SQRT(K31)-$AD$2,2),0.25)</f>
        <v>1018.75</v>
      </c>
      <c r="AE31" s="19">
        <f>MROUND(POWER(SQRT(K31)-$AE$2,2),0.25)</f>
        <v>1021.25</v>
      </c>
      <c r="AF31" s="41">
        <f>MROUND(POWER(SQRT(K31)-$AF$2,2),0.25)</f>
        <v>1022.75</v>
      </c>
      <c r="AG31" s="20">
        <f>MROUND(POWER(SQRT(K31)-$AG$2,2),0.25)</f>
        <v>1025.25</v>
      </c>
      <c r="AH31" s="18">
        <f>MROUND(POWER(SQRT(K31)-$AH$2,2),0.25)</f>
        <v>1026.75</v>
      </c>
      <c r="AK31" s="22"/>
    </row>
    <row r="32" spans="1:37" s="21" customFormat="1" x14ac:dyDescent="0.25">
      <c r="A32" s="13" t="s">
        <v>38</v>
      </c>
      <c r="B32" s="14" t="str">
        <f t="shared" si="12"/>
        <v/>
      </c>
      <c r="C32" s="15" t="str">
        <f t="shared" si="13"/>
        <v/>
      </c>
      <c r="D32" s="14" t="str">
        <f t="shared" si="14"/>
        <v>Sell</v>
      </c>
      <c r="E32" s="14">
        <f t="shared" si="15"/>
        <v>-1.2999999999999545</v>
      </c>
      <c r="F32" s="16">
        <f>VLOOKUP(A32,LiveData!A:E,5,0)</f>
        <v>1010.2</v>
      </c>
      <c r="G32" s="17">
        <f>VLOOKUP(A32,LiveData!A:E,2,0)</f>
        <v>1016.7</v>
      </c>
      <c r="H32" s="17">
        <f>VLOOKUP(A32,LiveData!A:E,3,0)</f>
        <v>1022</v>
      </c>
      <c r="I32" s="17">
        <f>VLOOKUP(A32,LiveData!A:E,4,0)</f>
        <v>1010.15</v>
      </c>
      <c r="J32" s="17">
        <f>VLOOKUP(A32,LiveData!A:F,6,0)</f>
        <v>5.61</v>
      </c>
      <c r="K32" s="17">
        <f t="shared" si="16"/>
        <v>1016.7</v>
      </c>
      <c r="L32" s="34">
        <f>MROUND(POWER(SQRT(K32)+$L$2,2),0.25)</f>
        <v>1047.5</v>
      </c>
      <c r="M32" s="18">
        <f>MROUND(POWER(SQRT(K32)+$M$2,2),0.25)</f>
        <v>1046.25</v>
      </c>
      <c r="N32" s="34">
        <f>MROUND(POWER(SQRT(K32)+$N$2,2),0.25)</f>
        <v>1043.5</v>
      </c>
      <c r="O32" s="18">
        <f>MROUND(POWER(SQRT(K32)+$O$2,2),0.25)</f>
        <v>1042</v>
      </c>
      <c r="P32" s="19">
        <f>MROUND(POWER(SQRT(K32)+$P$2,2),0.25)</f>
        <v>1039.5</v>
      </c>
      <c r="Q32" s="31">
        <f>MROUND(POWER(SQRT(K32)+$Q$2,2),0.25)</f>
        <v>1032.75</v>
      </c>
      <c r="R32" s="20">
        <f>MROUND(POWER(SQRT(K32)+$R$2,2),0.25)</f>
        <v>1026</v>
      </c>
      <c r="S32" s="19">
        <f>MROUND(POWER(SQRT(K32)+$S$2,2),0.25)</f>
        <v>1023.25</v>
      </c>
      <c r="T32" s="1">
        <f>MROUND(POWER(SQRT(K32)+$T$2,2),0.25)</f>
        <v>1022</v>
      </c>
      <c r="U32" s="20">
        <f>MROUND(POWER(SQRT(K32)+$U$2,2),0.25)</f>
        <v>1019.25</v>
      </c>
      <c r="V32" s="18">
        <f>MROUND(POWER(SQRT(K32)+$V$2,2),0.25)</f>
        <v>1018</v>
      </c>
      <c r="W32" s="38"/>
      <c r="X32" s="34">
        <f>MROUND(POWER(SQRT(K32)-$X$2,2),0.25)</f>
        <v>986.25</v>
      </c>
      <c r="Y32" s="18">
        <f>MROUND(POWER(SQRT(K32)-$Y$2,2),0.25)</f>
        <v>987.75</v>
      </c>
      <c r="Z32" s="34">
        <f>MROUND(POWER(SQRT(K32)-$Z$2,2),0.25)</f>
        <v>990.25</v>
      </c>
      <c r="AA32" s="18">
        <f>MROUND(POWER(SQRT(K32)-$AA$2,2),0.25)</f>
        <v>991.5</v>
      </c>
      <c r="AB32" s="19">
        <f>MROUND(POWER(SQRT(K32)-$AB$2,2),0.25)</f>
        <v>994.25</v>
      </c>
      <c r="AC32" s="31">
        <f>MROUND(POWER(SQRT(K32)-$AC$2,2),0.25)</f>
        <v>1000.75</v>
      </c>
      <c r="AD32" s="20">
        <f>MROUND(POWER(SQRT(K32)-$AD$2,2),0.25)</f>
        <v>1007.5</v>
      </c>
      <c r="AE32" s="19">
        <f>MROUND(POWER(SQRT(K32)-$AE$2,2),0.25)</f>
        <v>1010</v>
      </c>
      <c r="AF32" s="41">
        <f>MROUND(POWER(SQRT(K32)-$AF$2,2),0.25)</f>
        <v>1011.5</v>
      </c>
      <c r="AG32" s="20">
        <f>MROUND(POWER(SQRT(K32)-$AG$2,2),0.25)</f>
        <v>1014</v>
      </c>
      <c r="AH32" s="18">
        <f>MROUND(POWER(SQRT(K32)-$AH$2,2),0.25)</f>
        <v>1015.25</v>
      </c>
      <c r="AK32" s="22"/>
    </row>
    <row r="33" spans="1:37" s="21" customFormat="1" x14ac:dyDescent="0.25">
      <c r="A33" s="13" t="s">
        <v>39</v>
      </c>
      <c r="B33" s="14" t="str">
        <f t="shared" si="12"/>
        <v/>
      </c>
      <c r="C33" s="15" t="str">
        <f t="shared" si="13"/>
        <v/>
      </c>
      <c r="D33" s="14" t="str">
        <f t="shared" si="14"/>
        <v>Sell</v>
      </c>
      <c r="E33" s="14">
        <f t="shared" si="15"/>
        <v>-3.5499999999999545</v>
      </c>
      <c r="F33" s="16">
        <f>VLOOKUP(A33,LiveData!A:E,5,0)</f>
        <v>1259.45</v>
      </c>
      <c r="G33" s="17">
        <f>VLOOKUP(A33,LiveData!A:E,2,0)</f>
        <v>1268.9000000000001</v>
      </c>
      <c r="H33" s="17">
        <f>VLOOKUP(A33,LiveData!A:E,3,0)</f>
        <v>1275.95</v>
      </c>
      <c r="I33" s="17">
        <f>VLOOKUP(A33,LiveData!A:E,4,0)</f>
        <v>1251.3</v>
      </c>
      <c r="J33" s="17">
        <f>VLOOKUP(A33,LiveData!A:F,6,0)</f>
        <v>16.75</v>
      </c>
      <c r="K33" s="17">
        <f t="shared" si="16"/>
        <v>1268.9000000000001</v>
      </c>
      <c r="L33" s="34">
        <f>MROUND(POWER(SQRT(K33)+$L$2,2),0.25)</f>
        <v>1303.25</v>
      </c>
      <c r="M33" s="18">
        <f>MROUND(POWER(SQRT(K33)+$M$2,2),0.25)</f>
        <v>1301.75</v>
      </c>
      <c r="N33" s="34">
        <f>MROUND(POWER(SQRT(K33)+$N$2,2),0.25)</f>
        <v>1298.75</v>
      </c>
      <c r="O33" s="18">
        <f>MROUND(POWER(SQRT(K33)+$O$2,2),0.25)</f>
        <v>1297.25</v>
      </c>
      <c r="P33" s="19">
        <f>MROUND(POWER(SQRT(K33)+$P$2,2),0.25)</f>
        <v>1294.25</v>
      </c>
      <c r="Q33" s="31">
        <f>MROUND(POWER(SQRT(K33)+$Q$2,2),0.25)</f>
        <v>1286.75</v>
      </c>
      <c r="R33" s="20">
        <f>MROUND(POWER(SQRT(K33)+$R$2,2),0.25)</f>
        <v>1279.25</v>
      </c>
      <c r="S33" s="19">
        <f>MROUND(POWER(SQRT(K33)+$S$2,2),0.25)</f>
        <v>1276.25</v>
      </c>
      <c r="T33" s="1">
        <f>MROUND(POWER(SQRT(K33)+$T$2,2),0.25)</f>
        <v>1274.75</v>
      </c>
      <c r="U33" s="20">
        <f>MROUND(POWER(SQRT(K33)+$U$2,2),0.25)</f>
        <v>1271.75</v>
      </c>
      <c r="V33" s="18">
        <f>MROUND(POWER(SQRT(K33)+$V$2,2),0.25)</f>
        <v>1270.5</v>
      </c>
      <c r="W33" s="38"/>
      <c r="X33" s="34">
        <f>MROUND(POWER(SQRT(K33)-$X$2,2),0.25)</f>
        <v>1235</v>
      </c>
      <c r="Y33" s="18">
        <f>MROUND(POWER(SQRT(K33)-$Y$2,2),0.25)</f>
        <v>1236.5</v>
      </c>
      <c r="Z33" s="34">
        <f>MROUND(POWER(SQRT(K33)-$Z$2,2),0.25)</f>
        <v>1239.5</v>
      </c>
      <c r="AA33" s="18">
        <f>MROUND(POWER(SQRT(K33)-$AA$2,2),0.25)</f>
        <v>1240.75</v>
      </c>
      <c r="AB33" s="19">
        <f>MROUND(POWER(SQRT(K33)-$AB$2,2),0.25)</f>
        <v>1243.75</v>
      </c>
      <c r="AC33" s="31">
        <f>MROUND(POWER(SQRT(K33)-$AC$2,2),0.25)</f>
        <v>1251.25</v>
      </c>
      <c r="AD33" s="20">
        <f>MROUND(POWER(SQRT(K33)-$AD$2,2),0.25)</f>
        <v>1258.5</v>
      </c>
      <c r="AE33" s="19">
        <f>MROUND(POWER(SQRT(K33)-$AE$2,2),0.25)</f>
        <v>1261.5</v>
      </c>
      <c r="AF33" s="41">
        <f>MROUND(POWER(SQRT(K33)-$AF$2,2),0.25)</f>
        <v>1263</v>
      </c>
      <c r="AG33" s="20">
        <f>MROUND(POWER(SQRT(K33)-$AG$2,2),0.25)</f>
        <v>1266</v>
      </c>
      <c r="AH33" s="18">
        <f>MROUND(POWER(SQRT(K33)-$AH$2,2),0.25)</f>
        <v>1267.5</v>
      </c>
      <c r="AK33" s="22"/>
    </row>
    <row r="34" spans="1:37" s="21" customFormat="1" x14ac:dyDescent="0.25">
      <c r="A34" s="13" t="s">
        <v>40</v>
      </c>
      <c r="B34" s="14" t="str">
        <f t="shared" si="12"/>
        <v>Buy</v>
      </c>
      <c r="C34" s="15">
        <f t="shared" si="13"/>
        <v>1.5</v>
      </c>
      <c r="D34" s="14" t="str">
        <f t="shared" si="14"/>
        <v/>
      </c>
      <c r="E34" s="14" t="str">
        <f t="shared" si="15"/>
        <v/>
      </c>
      <c r="F34" s="16">
        <f>VLOOKUP(A34,LiveData!A:E,5,0)</f>
        <v>876</v>
      </c>
      <c r="G34" s="17">
        <f>VLOOKUP(A34,LiveData!A:E,2,0)</f>
        <v>872.95</v>
      </c>
      <c r="H34" s="17">
        <f>VLOOKUP(A34,LiveData!A:E,3,0)</f>
        <v>885.2</v>
      </c>
      <c r="I34" s="17">
        <f>VLOOKUP(A34,LiveData!A:E,4,0)</f>
        <v>870</v>
      </c>
      <c r="J34" s="17">
        <f>VLOOKUP(A34,LiveData!A:F,6,0)</f>
        <v>37.11</v>
      </c>
      <c r="K34" s="17">
        <f t="shared" si="16"/>
        <v>872.95</v>
      </c>
      <c r="L34" s="34">
        <f t="shared" ref="L34:L35" si="127">MROUND((POWER(SQRT(K34*10)+$L$2,2))/10,0.25)</f>
        <v>882</v>
      </c>
      <c r="M34" s="18">
        <f t="shared" ref="M34:M35" si="128">MROUND((POWER(SQRT(K34*10)+$M$2,2))/10,0.25)</f>
        <v>881.5</v>
      </c>
      <c r="N34" s="34">
        <f t="shared" ref="N34:N35" si="129">MROUND((POWER(SQRT(K34*10)+$N$2,2))/10,0.25)</f>
        <v>880.75</v>
      </c>
      <c r="O34" s="18">
        <f t="shared" ref="O34:O35" si="130">MROUND((POWER(SQRT(K34*10)+$O$2,2))/10,0.25)</f>
        <v>880.25</v>
      </c>
      <c r="P34" s="19">
        <f t="shared" ref="P34:P35" si="131">MROUND((POWER(SQRT(K34*10)+$P$2,2))/10,0.25)</f>
        <v>879.5</v>
      </c>
      <c r="Q34" s="31">
        <f t="shared" ref="Q34:Q35" si="132">MROUND((POWER(SQRT(K34*10)+$Q$2,2))/10,0.25)</f>
        <v>877.75</v>
      </c>
      <c r="R34" s="20">
        <f t="shared" ref="R34:R35" si="133">MROUND((POWER(SQRT(K34*10)+$R$2,2))/10,0.25)</f>
        <v>875.75</v>
      </c>
      <c r="S34" s="19">
        <f t="shared" ref="S34:S35" si="134">MROUND((POWER(SQRT(K34*10)+$S$2,2))/10,0.25)</f>
        <v>875</v>
      </c>
      <c r="T34" s="1">
        <f t="shared" ref="T34:T35" si="135">MROUND((POWER(SQRT(K34*10)+$T$2,2))/10,0.25)</f>
        <v>874.5</v>
      </c>
      <c r="U34" s="20">
        <f t="shared" ref="U34:U35" si="136">MROUND((POWER(SQRT(K34*10)+$U$2,2))/10,0.25)</f>
        <v>873.75</v>
      </c>
      <c r="V34" s="18">
        <f t="shared" ref="V34:V35" si="137">MROUND((POWER(SQRT(K34*10)+$V$2,2))/10,0.25)</f>
        <v>873.25</v>
      </c>
      <c r="W34" s="38"/>
      <c r="X34" s="34">
        <f t="shared" ref="X34:X35" si="138">MROUND((POWER(SQRT(K34*10)-$X$2,2))/10,0.25)</f>
        <v>864</v>
      </c>
      <c r="Y34" s="18">
        <f t="shared" ref="Y34:Y35" si="139">MROUND((POWER(SQRT(K34*10)-$Y$2,2))/10,0.25)</f>
        <v>864.5</v>
      </c>
      <c r="Z34" s="34">
        <f t="shared" ref="Z34:Z35" si="140">MROUND((POWER(SQRT(K34*10)-$Z$2,2))/10,0.25)</f>
        <v>865.25</v>
      </c>
      <c r="AA34" s="18">
        <f t="shared" ref="AA34:AA35" si="141">MROUND((POWER(SQRT(K34*10)-$AA$2,2))/10,0.25)</f>
        <v>865.5</v>
      </c>
      <c r="AB34" s="19">
        <f t="shared" ref="AB34:AB35" si="142">MROUND((POWER(SQRT(K34*10)-$AB$2,2))/10,0.25)</f>
        <v>866.25</v>
      </c>
      <c r="AC34" s="31">
        <f t="shared" ref="AC34:AC35" si="143">MROUND((POWER(SQRT(K34*10)-$AC$2,2))/10,0.25)</f>
        <v>868.25</v>
      </c>
      <c r="AD34" s="20">
        <f t="shared" ref="AD34:AD35" si="144">MROUND((POWER(SQRT(K34*10)-$AD$2,2))/10,0.25)</f>
        <v>870.25</v>
      </c>
      <c r="AE34" s="19">
        <f t="shared" ref="AE34:AE35" si="145">MROUND((POWER(SQRT(K34*10)-$AE$2,2))/10,0.25)</f>
        <v>871</v>
      </c>
      <c r="AF34" s="41">
        <f t="shared" ref="AF34:AF35" si="146">MROUND((POWER(SQRT(K34*10)-$AF$2,2))/10,0.25)</f>
        <v>871.5</v>
      </c>
      <c r="AG34" s="20">
        <f t="shared" ref="AG34:AG35" si="147">MROUND((POWER(SQRT(K34*10)-$AG$2,2))/10,0.25)</f>
        <v>872.25</v>
      </c>
      <c r="AH34" s="18">
        <f t="shared" ref="AH34:AH35" si="148">MROUND((POWER(SQRT(K34*10)-$AH$2,2))/10,0.25)</f>
        <v>872.5</v>
      </c>
      <c r="AK34" s="22"/>
    </row>
    <row r="35" spans="1:37" s="21" customFormat="1" x14ac:dyDescent="0.25">
      <c r="A35" s="13" t="s">
        <v>1</v>
      </c>
      <c r="B35" s="14" t="str">
        <f t="shared" ref="B35:B52" si="149">IF(F35&gt;=T35,"Buy","")</f>
        <v>Buy</v>
      </c>
      <c r="C35" s="15">
        <f t="shared" ref="C35:C52" si="150">IF(B35="BUY",F35-T35,"")</f>
        <v>0.75</v>
      </c>
      <c r="D35" s="14" t="str">
        <f t="shared" ref="D35:D52" si="151">IF(F35&lt;=AF35,"Sell","")</f>
        <v/>
      </c>
      <c r="E35" s="14" t="str">
        <f t="shared" ref="E35:E52" si="152">IF(D35="Sell",F35-AF35,"")</f>
        <v/>
      </c>
      <c r="F35" s="16">
        <f>VLOOKUP(A35,LiveData!A:E,5,0)</f>
        <v>747</v>
      </c>
      <c r="G35" s="17">
        <f>VLOOKUP(A35,LiveData!A:E,2,0)</f>
        <v>744.8</v>
      </c>
      <c r="H35" s="17">
        <f>VLOOKUP(A35,LiveData!A:E,3,0)</f>
        <v>754.9</v>
      </c>
      <c r="I35" s="17">
        <f>VLOOKUP(A35,LiveData!A:E,4,0)</f>
        <v>739.45</v>
      </c>
      <c r="J35" s="17">
        <f>VLOOKUP(A35,LiveData!A:F,6,0)</f>
        <v>25.24</v>
      </c>
      <c r="K35" s="17">
        <f t="shared" ref="K35:K52" si="153">G35</f>
        <v>744.8</v>
      </c>
      <c r="L35" s="34">
        <f t="shared" si="127"/>
        <v>753</v>
      </c>
      <c r="M35" s="18">
        <f t="shared" si="128"/>
        <v>752.75</v>
      </c>
      <c r="N35" s="34">
        <f t="shared" si="129"/>
        <v>752</v>
      </c>
      <c r="O35" s="18">
        <f t="shared" si="130"/>
        <v>751.75</v>
      </c>
      <c r="P35" s="19">
        <f t="shared" si="131"/>
        <v>751</v>
      </c>
      <c r="Q35" s="31">
        <f t="shared" si="132"/>
        <v>749</v>
      </c>
      <c r="R35" s="20">
        <f t="shared" si="133"/>
        <v>747.25</v>
      </c>
      <c r="S35" s="19">
        <f t="shared" si="134"/>
        <v>746.5</v>
      </c>
      <c r="T35" s="1">
        <f t="shared" si="135"/>
        <v>746.25</v>
      </c>
      <c r="U35" s="20">
        <f t="shared" si="136"/>
        <v>745.5</v>
      </c>
      <c r="V35" s="18">
        <f t="shared" si="137"/>
        <v>745.25</v>
      </c>
      <c r="W35" s="38"/>
      <c r="X35" s="34">
        <f t="shared" si="138"/>
        <v>736.5</v>
      </c>
      <c r="Y35" s="18">
        <f t="shared" si="139"/>
        <v>737</v>
      </c>
      <c r="Z35" s="34">
        <f t="shared" si="140"/>
        <v>737.75</v>
      </c>
      <c r="AA35" s="18">
        <f t="shared" si="141"/>
        <v>738</v>
      </c>
      <c r="AB35" s="19">
        <f t="shared" si="142"/>
        <v>738.75</v>
      </c>
      <c r="AC35" s="31">
        <f t="shared" si="143"/>
        <v>740.5</v>
      </c>
      <c r="AD35" s="20">
        <f t="shared" si="144"/>
        <v>742.25</v>
      </c>
      <c r="AE35" s="19">
        <f t="shared" si="145"/>
        <v>743</v>
      </c>
      <c r="AF35" s="41">
        <f t="shared" si="146"/>
        <v>743.25</v>
      </c>
      <c r="AG35" s="20">
        <f t="shared" si="147"/>
        <v>744</v>
      </c>
      <c r="AH35" s="18">
        <f t="shared" si="148"/>
        <v>744.5</v>
      </c>
      <c r="AK35" s="22"/>
    </row>
    <row r="36" spans="1:37" s="21" customFormat="1" x14ac:dyDescent="0.25">
      <c r="A36" s="13" t="s">
        <v>41</v>
      </c>
      <c r="B36" s="14" t="str">
        <f t="shared" si="149"/>
        <v/>
      </c>
      <c r="C36" s="15" t="str">
        <f t="shared" si="150"/>
        <v/>
      </c>
      <c r="D36" s="14" t="str">
        <f t="shared" si="151"/>
        <v>Sell</v>
      </c>
      <c r="E36" s="14">
        <f t="shared" si="152"/>
        <v>-44.5</v>
      </c>
      <c r="F36" s="16">
        <f>VLOOKUP(A36,LiveData!A:E,5,0)</f>
        <v>9633</v>
      </c>
      <c r="G36" s="17">
        <f>VLOOKUP(A36,LiveData!A:E,2,0)</f>
        <v>9694</v>
      </c>
      <c r="H36" s="17">
        <f>VLOOKUP(A36,LiveData!A:E,3,0)</f>
        <v>9750.7000000000007</v>
      </c>
      <c r="I36" s="17">
        <f>VLOOKUP(A36,LiveData!A:E,4,0)</f>
        <v>9629.1</v>
      </c>
      <c r="J36" s="17">
        <f>VLOOKUP(A36,LiveData!A:F,6,0)</f>
        <v>4.03</v>
      </c>
      <c r="K36" s="17">
        <f t="shared" si="153"/>
        <v>9694</v>
      </c>
      <c r="L36" s="34">
        <f>MROUND(POWER(SQRT(K36)+$L$2,2),0.25)</f>
        <v>9788.5</v>
      </c>
      <c r="M36" s="18">
        <f>MROUND(POWER(SQRT(K36)+$M$2,2),0.25)</f>
        <v>9784.5</v>
      </c>
      <c r="N36" s="34">
        <f>MROUND(POWER(SQRT(K36)+$N$2,2),0.25)</f>
        <v>9776.25</v>
      </c>
      <c r="O36" s="18">
        <f>MROUND(POWER(SQRT(K36)+$O$2,2),0.25)</f>
        <v>9772</v>
      </c>
      <c r="P36" s="19">
        <f>MROUND(POWER(SQRT(K36)+$P$2,2),0.25)</f>
        <v>9763.75</v>
      </c>
      <c r="Q36" s="31">
        <f>MROUND(POWER(SQRT(K36)+$Q$2,2),0.25)</f>
        <v>9743.25</v>
      </c>
      <c r="R36" s="20">
        <f>MROUND(POWER(SQRT(K36)+$R$2,2),0.25)</f>
        <v>9722.75</v>
      </c>
      <c r="S36" s="19">
        <f>MROUND(POWER(SQRT(K36)+$S$2,2),0.25)</f>
        <v>9714.5</v>
      </c>
      <c r="T36" s="1">
        <f>MROUND(POWER(SQRT(K36)+$T$2,2),0.25)</f>
        <v>9710.5</v>
      </c>
      <c r="U36" s="20">
        <f>MROUND(POWER(SQRT(K36)+$U$2,2),0.25)</f>
        <v>9702.25</v>
      </c>
      <c r="V36" s="18">
        <f>MROUND(POWER(SQRT(K36)+$V$2,2),0.25)</f>
        <v>9698</v>
      </c>
      <c r="W36" s="38"/>
      <c r="X36" s="34">
        <f>MROUND(POWER(SQRT(K36)-$X$2,2),0.25)</f>
        <v>9599.75</v>
      </c>
      <c r="Y36" s="18">
        <f>MROUND(POWER(SQRT(K36)-$Y$2,2),0.25)</f>
        <v>9604</v>
      </c>
      <c r="Z36" s="34">
        <f>MROUND(POWER(SQRT(K36)-$Z$2,2),0.25)</f>
        <v>9612.25</v>
      </c>
      <c r="AA36" s="18">
        <f>MROUND(POWER(SQRT(K36)-$AA$2,2),0.25)</f>
        <v>9616.25</v>
      </c>
      <c r="AB36" s="19">
        <f>MROUND(POWER(SQRT(K36)-$AB$2,2),0.25)</f>
        <v>9624.5</v>
      </c>
      <c r="AC36" s="31">
        <f>MROUND(POWER(SQRT(K36)-$AC$2,2),0.25)</f>
        <v>9644.75</v>
      </c>
      <c r="AD36" s="20">
        <f>MROUND(POWER(SQRT(K36)-$AD$2,2),0.25)</f>
        <v>9665.25</v>
      </c>
      <c r="AE36" s="19">
        <f>MROUND(POWER(SQRT(K36)-$AE$2,2),0.25)</f>
        <v>9673.5</v>
      </c>
      <c r="AF36" s="41">
        <f>MROUND(POWER(SQRT(K36)-$AF$2,2),0.25)</f>
        <v>9677.5</v>
      </c>
      <c r="AG36" s="20">
        <f>MROUND(POWER(SQRT(K36)-$AG$2,2),0.25)</f>
        <v>9685.75</v>
      </c>
      <c r="AH36" s="18">
        <f>MROUND(POWER(SQRT(K36)-$AH$2,2),0.25)</f>
        <v>9690</v>
      </c>
      <c r="AK36" s="22"/>
    </row>
    <row r="37" spans="1:37" s="21" customFormat="1" x14ac:dyDescent="0.25">
      <c r="A37" s="13" t="s">
        <v>6</v>
      </c>
      <c r="B37" s="14" t="str">
        <f t="shared" si="149"/>
        <v/>
      </c>
      <c r="C37" s="15" t="str">
        <f t="shared" si="150"/>
        <v/>
      </c>
      <c r="D37" s="14" t="str">
        <f t="shared" si="151"/>
        <v>Sell</v>
      </c>
      <c r="E37" s="14">
        <f t="shared" si="152"/>
        <v>-1.0999999999999943</v>
      </c>
      <c r="F37" s="16">
        <f>VLOOKUP(A37,LiveData!A:E,5,0)</f>
        <v>176.65</v>
      </c>
      <c r="G37" s="17">
        <f>VLOOKUP(A37,LiveData!A:E,2,0)</f>
        <v>178.45</v>
      </c>
      <c r="H37" s="17">
        <f>VLOOKUP(A37,LiveData!A:E,3,0)</f>
        <v>180.3</v>
      </c>
      <c r="I37" s="17">
        <f>VLOOKUP(A37,LiveData!A:E,4,0)</f>
        <v>176.6</v>
      </c>
      <c r="J37" s="17">
        <f>VLOOKUP(A37,LiveData!A:F,6,0)</f>
        <v>65.349999999999994</v>
      </c>
      <c r="K37" s="17">
        <f t="shared" si="153"/>
        <v>178.45</v>
      </c>
      <c r="L37" s="34">
        <f t="shared" ref="L37:L42" si="154">MROUND((POWER(SQRT(K37*10)+$L$2,2))/10,0.25)</f>
        <v>182.5</v>
      </c>
      <c r="M37" s="18">
        <f t="shared" ref="M37:M42" si="155">MROUND((POWER(SQRT(K37*10)+$M$2,2))/10,0.25)</f>
        <v>182.25</v>
      </c>
      <c r="N37" s="34">
        <f t="shared" ref="N37:N42" si="156">MROUND((POWER(SQRT(K37*10)+$N$2,2))/10,0.25)</f>
        <v>182</v>
      </c>
      <c r="O37" s="18">
        <f t="shared" ref="O37:O42" si="157">MROUND((POWER(SQRT(K37*10)+$O$2,2))/10,0.25)</f>
        <v>181.75</v>
      </c>
      <c r="P37" s="19">
        <f t="shared" ref="P37:P42" si="158">MROUND((POWER(SQRT(K37*10)+$P$2,2))/10,0.25)</f>
        <v>181.5</v>
      </c>
      <c r="Q37" s="31">
        <f t="shared" ref="Q37:Q42" si="159">MROUND((POWER(SQRT(K37*10)+$Q$2,2))/10,0.25)</f>
        <v>180.5</v>
      </c>
      <c r="R37" s="20">
        <f t="shared" ref="R37:R42" si="160">MROUND((POWER(SQRT(K37*10)+$R$2,2))/10,0.25)</f>
        <v>179.75</v>
      </c>
      <c r="S37" s="19">
        <f t="shared" ref="S37:S42" si="161">MROUND((POWER(SQRT(K37*10)+$S$2,2))/10,0.25)</f>
        <v>179.25</v>
      </c>
      <c r="T37" s="1">
        <f t="shared" ref="T37:T42" si="162">MROUND((POWER(SQRT(K37*10)+$T$2,2))/10,0.25)</f>
        <v>179.25</v>
      </c>
      <c r="U37" s="20">
        <f t="shared" ref="U37:U42" si="163">MROUND((POWER(SQRT(K37*10)+$U$2,2))/10,0.25)</f>
        <v>178.75</v>
      </c>
      <c r="V37" s="18">
        <f t="shared" ref="V37:V42" si="164">MROUND((POWER(SQRT(K37*10)+$V$2,2))/10,0.25)</f>
        <v>178.75</v>
      </c>
      <c r="W37" s="38"/>
      <c r="X37" s="34">
        <f t="shared" ref="X37:X42" si="165">MROUND((POWER(SQRT(K37*10)-$X$2,2))/10,0.25)</f>
        <v>174.5</v>
      </c>
      <c r="Y37" s="18">
        <f t="shared" ref="Y37:Y42" si="166">MROUND((POWER(SQRT(K37*10)-$Y$2,2))/10,0.25)</f>
        <v>174.5</v>
      </c>
      <c r="Z37" s="34">
        <f t="shared" ref="Z37:Z42" si="167">MROUND((POWER(SQRT(K37*10)-$Z$2,2))/10,0.25)</f>
        <v>175</v>
      </c>
      <c r="AA37" s="18">
        <f t="shared" ref="AA37:AA42" si="168">MROUND((POWER(SQRT(K37*10)-$AA$2,2))/10,0.25)</f>
        <v>175</v>
      </c>
      <c r="AB37" s="19">
        <f t="shared" ref="AB37:AB42" si="169">MROUND((POWER(SQRT(K37*10)-$AB$2,2))/10,0.25)</f>
        <v>175.5</v>
      </c>
      <c r="AC37" s="31">
        <f t="shared" ref="AC37:AC42" si="170">MROUND((POWER(SQRT(K37*10)-$AC$2,2))/10,0.25)</f>
        <v>176.25</v>
      </c>
      <c r="AD37" s="20">
        <f t="shared" ref="AD37:AD42" si="171">MROUND((POWER(SQRT(K37*10)-$AD$2,2))/10,0.25)</f>
        <v>177.25</v>
      </c>
      <c r="AE37" s="19">
        <f t="shared" ref="AE37:AE42" si="172">MROUND((POWER(SQRT(K37*10)-$AE$2,2))/10,0.25)</f>
        <v>177.5</v>
      </c>
      <c r="AF37" s="41">
        <f t="shared" ref="AF37:AF42" si="173">MROUND((POWER(SQRT(K37*10)-$AF$2,2))/10,0.25)</f>
        <v>177.75</v>
      </c>
      <c r="AG37" s="20">
        <f t="shared" ref="AG37:AG42" si="174">MROUND((POWER(SQRT(K37*10)-$AG$2,2))/10,0.25)</f>
        <v>178</v>
      </c>
      <c r="AH37" s="18">
        <f t="shared" ref="AH37:AH42" si="175">MROUND((POWER(SQRT(K37*10)-$AH$2,2))/10,0.25)</f>
        <v>178.25</v>
      </c>
      <c r="AK37" s="22"/>
    </row>
    <row r="38" spans="1:37" s="21" customFormat="1" x14ac:dyDescent="0.25">
      <c r="A38" s="13" t="s">
        <v>10</v>
      </c>
      <c r="B38" s="14" t="str">
        <f t="shared" si="149"/>
        <v/>
      </c>
      <c r="C38" s="15" t="str">
        <f t="shared" si="150"/>
        <v/>
      </c>
      <c r="D38" s="14" t="str">
        <f t="shared" si="151"/>
        <v>Sell</v>
      </c>
      <c r="E38" s="14">
        <f t="shared" si="152"/>
        <v>-1.8499999999999943</v>
      </c>
      <c r="F38" s="16">
        <f>VLOOKUP(A38,LiveData!A:E,5,0)</f>
        <v>192.65</v>
      </c>
      <c r="G38" s="17">
        <f>VLOOKUP(A38,LiveData!A:E,2,0)</f>
        <v>195.3</v>
      </c>
      <c r="H38" s="17">
        <f>VLOOKUP(A38,LiveData!A:E,3,0)</f>
        <v>196</v>
      </c>
      <c r="I38" s="17">
        <f>VLOOKUP(A38,LiveData!A:E,4,0)</f>
        <v>191.35</v>
      </c>
      <c r="J38" s="17">
        <f>VLOOKUP(A38,LiveData!A:F,6,0)</f>
        <v>72.599999999999994</v>
      </c>
      <c r="K38" s="17">
        <f t="shared" si="153"/>
        <v>195.3</v>
      </c>
      <c r="L38" s="34">
        <f t="shared" si="154"/>
        <v>199.5</v>
      </c>
      <c r="M38" s="18">
        <f t="shared" si="155"/>
        <v>199.25</v>
      </c>
      <c r="N38" s="34">
        <f t="shared" si="156"/>
        <v>199</v>
      </c>
      <c r="O38" s="18">
        <f t="shared" si="157"/>
        <v>198.75</v>
      </c>
      <c r="P38" s="19">
        <f t="shared" si="158"/>
        <v>198.5</v>
      </c>
      <c r="Q38" s="31">
        <f t="shared" si="159"/>
        <v>197.5</v>
      </c>
      <c r="R38" s="20">
        <f t="shared" si="160"/>
        <v>196.5</v>
      </c>
      <c r="S38" s="19">
        <f t="shared" si="161"/>
        <v>196.25</v>
      </c>
      <c r="T38" s="1">
        <f t="shared" si="162"/>
        <v>196</v>
      </c>
      <c r="U38" s="20">
        <f t="shared" si="163"/>
        <v>195.75</v>
      </c>
      <c r="V38" s="18">
        <f t="shared" si="164"/>
        <v>195.5</v>
      </c>
      <c r="W38" s="38"/>
      <c r="X38" s="34">
        <f t="shared" si="165"/>
        <v>191</v>
      </c>
      <c r="Y38" s="18">
        <f t="shared" si="166"/>
        <v>191.25</v>
      </c>
      <c r="Z38" s="34">
        <f t="shared" si="167"/>
        <v>191.75</v>
      </c>
      <c r="AA38" s="18">
        <f t="shared" si="168"/>
        <v>191.75</v>
      </c>
      <c r="AB38" s="19">
        <f t="shared" si="169"/>
        <v>192.25</v>
      </c>
      <c r="AC38" s="31">
        <f t="shared" si="170"/>
        <v>193</v>
      </c>
      <c r="AD38" s="20">
        <f t="shared" si="171"/>
        <v>194</v>
      </c>
      <c r="AE38" s="19">
        <f t="shared" si="172"/>
        <v>194.5</v>
      </c>
      <c r="AF38" s="41">
        <f t="shared" si="173"/>
        <v>194.5</v>
      </c>
      <c r="AG38" s="20">
        <f t="shared" si="174"/>
        <v>195</v>
      </c>
      <c r="AH38" s="18">
        <f t="shared" si="175"/>
        <v>195</v>
      </c>
      <c r="AK38" s="22"/>
    </row>
    <row r="39" spans="1:37" s="21" customFormat="1" x14ac:dyDescent="0.25">
      <c r="A39" s="13" t="s">
        <v>42</v>
      </c>
      <c r="B39" s="14" t="str">
        <f t="shared" si="149"/>
        <v/>
      </c>
      <c r="C39" s="15" t="str">
        <f t="shared" si="150"/>
        <v/>
      </c>
      <c r="D39" s="14" t="str">
        <f t="shared" si="151"/>
        <v>Sell</v>
      </c>
      <c r="E39" s="14">
        <f t="shared" si="152"/>
        <v>-0.65000000000000568</v>
      </c>
      <c r="F39" s="16">
        <f>VLOOKUP(A39,LiveData!A:E,5,0)</f>
        <v>201.1</v>
      </c>
      <c r="G39" s="17">
        <f>VLOOKUP(A39,LiveData!A:E,2,0)</f>
        <v>202.5</v>
      </c>
      <c r="H39" s="17">
        <f>VLOOKUP(A39,LiveData!A:E,3,0)</f>
        <v>204.5</v>
      </c>
      <c r="I39" s="17">
        <f>VLOOKUP(A39,LiveData!A:E,4,0)</f>
        <v>200.8</v>
      </c>
      <c r="J39" s="17">
        <f>VLOOKUP(A39,LiveData!A:F,6,0)</f>
        <v>44.05</v>
      </c>
      <c r="K39" s="17">
        <f t="shared" si="153"/>
        <v>202.5</v>
      </c>
      <c r="L39" s="34">
        <f t="shared" si="154"/>
        <v>206.75</v>
      </c>
      <c r="M39" s="18">
        <f t="shared" si="155"/>
        <v>206.75</v>
      </c>
      <c r="N39" s="34">
        <f t="shared" si="156"/>
        <v>206.25</v>
      </c>
      <c r="O39" s="18">
        <f t="shared" si="157"/>
        <v>206</v>
      </c>
      <c r="P39" s="19">
        <f t="shared" si="158"/>
        <v>205.75</v>
      </c>
      <c r="Q39" s="31">
        <f t="shared" si="159"/>
        <v>204.75</v>
      </c>
      <c r="R39" s="20">
        <f t="shared" si="160"/>
        <v>203.75</v>
      </c>
      <c r="S39" s="19">
        <f t="shared" si="161"/>
        <v>203.5</v>
      </c>
      <c r="T39" s="1">
        <f t="shared" si="162"/>
        <v>203.25</v>
      </c>
      <c r="U39" s="20">
        <f t="shared" si="163"/>
        <v>203</v>
      </c>
      <c r="V39" s="18">
        <f t="shared" si="164"/>
        <v>202.75</v>
      </c>
      <c r="W39" s="38"/>
      <c r="X39" s="34">
        <f t="shared" si="165"/>
        <v>198.25</v>
      </c>
      <c r="Y39" s="18">
        <f t="shared" si="166"/>
        <v>198.5</v>
      </c>
      <c r="Z39" s="34">
        <f t="shared" si="167"/>
        <v>198.75</v>
      </c>
      <c r="AA39" s="18">
        <f t="shared" si="168"/>
        <v>199</v>
      </c>
      <c r="AB39" s="19">
        <f t="shared" si="169"/>
        <v>199.25</v>
      </c>
      <c r="AC39" s="31">
        <f t="shared" si="170"/>
        <v>200.25</v>
      </c>
      <c r="AD39" s="20">
        <f t="shared" si="171"/>
        <v>201.25</v>
      </c>
      <c r="AE39" s="19">
        <f t="shared" si="172"/>
        <v>201.5</v>
      </c>
      <c r="AF39" s="41">
        <f t="shared" si="173"/>
        <v>201.75</v>
      </c>
      <c r="AG39" s="20">
        <f t="shared" si="174"/>
        <v>202.25</v>
      </c>
      <c r="AH39" s="18">
        <f t="shared" si="175"/>
        <v>202.25</v>
      </c>
      <c r="AK39" s="22"/>
    </row>
    <row r="40" spans="1:37" s="21" customFormat="1" x14ac:dyDescent="0.25">
      <c r="A40" s="13" t="s">
        <v>43</v>
      </c>
      <c r="B40" s="14" t="str">
        <f t="shared" si="149"/>
        <v/>
      </c>
      <c r="C40" s="15" t="str">
        <f t="shared" si="150"/>
        <v/>
      </c>
      <c r="D40" s="14" t="str">
        <f t="shared" si="151"/>
        <v>Sell</v>
      </c>
      <c r="E40" s="14">
        <f t="shared" si="152"/>
        <v>-8.25</v>
      </c>
      <c r="F40" s="16">
        <f>VLOOKUP(A40,LiveData!A:E,5,0)</f>
        <v>923.25</v>
      </c>
      <c r="G40" s="17">
        <f>VLOOKUP(A40,LiveData!A:E,2,0)</f>
        <v>933</v>
      </c>
      <c r="H40" s="17">
        <f>VLOOKUP(A40,LiveData!A:E,3,0)</f>
        <v>937.5</v>
      </c>
      <c r="I40" s="17">
        <f>VLOOKUP(A40,LiveData!A:E,4,0)</f>
        <v>919</v>
      </c>
      <c r="J40" s="17">
        <f>VLOOKUP(A40,LiveData!A:F,6,0)</f>
        <v>43.52</v>
      </c>
      <c r="K40" s="17">
        <f t="shared" si="153"/>
        <v>933</v>
      </c>
      <c r="L40" s="34">
        <f t="shared" si="154"/>
        <v>942.25</v>
      </c>
      <c r="M40" s="18">
        <f t="shared" si="155"/>
        <v>942</v>
      </c>
      <c r="N40" s="34">
        <f t="shared" si="156"/>
        <v>941</v>
      </c>
      <c r="O40" s="18">
        <f t="shared" si="157"/>
        <v>940.75</v>
      </c>
      <c r="P40" s="19">
        <f t="shared" si="158"/>
        <v>939.75</v>
      </c>
      <c r="Q40" s="31">
        <f t="shared" si="159"/>
        <v>937.75</v>
      </c>
      <c r="R40" s="20">
        <f t="shared" si="160"/>
        <v>935.75</v>
      </c>
      <c r="S40" s="19">
        <f t="shared" si="161"/>
        <v>935</v>
      </c>
      <c r="T40" s="1">
        <f t="shared" si="162"/>
        <v>934.5</v>
      </c>
      <c r="U40" s="20">
        <f t="shared" si="163"/>
        <v>933.75</v>
      </c>
      <c r="V40" s="18">
        <f t="shared" si="164"/>
        <v>933.5</v>
      </c>
      <c r="W40" s="38"/>
      <c r="X40" s="34">
        <f t="shared" si="165"/>
        <v>923.75</v>
      </c>
      <c r="Y40" s="18">
        <f t="shared" si="166"/>
        <v>924.25</v>
      </c>
      <c r="Z40" s="34">
        <f t="shared" si="167"/>
        <v>925</v>
      </c>
      <c r="AA40" s="18">
        <f t="shared" si="168"/>
        <v>925.25</v>
      </c>
      <c r="AB40" s="19">
        <f t="shared" si="169"/>
        <v>926.25</v>
      </c>
      <c r="AC40" s="31">
        <f t="shared" si="170"/>
        <v>928.25</v>
      </c>
      <c r="AD40" s="20">
        <f t="shared" si="171"/>
        <v>930.25</v>
      </c>
      <c r="AE40" s="19">
        <f t="shared" si="172"/>
        <v>931</v>
      </c>
      <c r="AF40" s="41">
        <f t="shared" si="173"/>
        <v>931.5</v>
      </c>
      <c r="AG40" s="20">
        <f t="shared" si="174"/>
        <v>932.25</v>
      </c>
      <c r="AH40" s="18">
        <f t="shared" si="175"/>
        <v>932.5</v>
      </c>
      <c r="AK40" s="22"/>
    </row>
    <row r="41" spans="1:37" s="21" customFormat="1" x14ac:dyDescent="0.25">
      <c r="A41" s="13" t="s">
        <v>44</v>
      </c>
      <c r="B41" s="14" t="str">
        <f t="shared" si="149"/>
        <v/>
      </c>
      <c r="C41" s="15" t="str">
        <f t="shared" si="150"/>
        <v/>
      </c>
      <c r="D41" s="14" t="str">
        <f t="shared" si="151"/>
        <v>Sell</v>
      </c>
      <c r="E41" s="14">
        <f t="shared" si="152"/>
        <v>-2.0500000000000114</v>
      </c>
      <c r="F41" s="16">
        <f>VLOOKUP(A41,LiveData!A:E,5,0)</f>
        <v>313.45</v>
      </c>
      <c r="G41" s="17">
        <f>VLOOKUP(A41,LiveData!A:E,2,0)</f>
        <v>316.5</v>
      </c>
      <c r="H41" s="17">
        <f>VLOOKUP(A41,LiveData!A:E,3,0)</f>
        <v>320.3</v>
      </c>
      <c r="I41" s="17">
        <f>VLOOKUP(A41,LiveData!A:E,4,0)</f>
        <v>313.05</v>
      </c>
      <c r="J41" s="17">
        <f>VLOOKUP(A41,LiveData!A:F,6,0)</f>
        <v>142.76</v>
      </c>
      <c r="K41" s="17">
        <f t="shared" si="153"/>
        <v>316.5</v>
      </c>
      <c r="L41" s="34">
        <f t="shared" si="154"/>
        <v>322</v>
      </c>
      <c r="M41" s="18">
        <f t="shared" si="155"/>
        <v>321.75</v>
      </c>
      <c r="N41" s="34">
        <f t="shared" si="156"/>
        <v>321.25</v>
      </c>
      <c r="O41" s="18">
        <f t="shared" si="157"/>
        <v>321</v>
      </c>
      <c r="P41" s="19">
        <f t="shared" si="158"/>
        <v>320.5</v>
      </c>
      <c r="Q41" s="31">
        <f t="shared" si="159"/>
        <v>319.25</v>
      </c>
      <c r="R41" s="20">
        <f t="shared" si="160"/>
        <v>318.25</v>
      </c>
      <c r="S41" s="19">
        <f t="shared" si="161"/>
        <v>317.75</v>
      </c>
      <c r="T41" s="1">
        <f t="shared" si="162"/>
        <v>317.5</v>
      </c>
      <c r="U41" s="20">
        <f t="shared" si="163"/>
        <v>317</v>
      </c>
      <c r="V41" s="18">
        <f t="shared" si="164"/>
        <v>316.75</v>
      </c>
      <c r="W41" s="38"/>
      <c r="X41" s="34">
        <f t="shared" si="165"/>
        <v>311.25</v>
      </c>
      <c r="Y41" s="18">
        <f t="shared" si="166"/>
        <v>311.25</v>
      </c>
      <c r="Z41" s="34">
        <f t="shared" si="167"/>
        <v>311.75</v>
      </c>
      <c r="AA41" s="18">
        <f t="shared" si="168"/>
        <v>312</v>
      </c>
      <c r="AB41" s="19">
        <f t="shared" si="169"/>
        <v>312.5</v>
      </c>
      <c r="AC41" s="31">
        <f t="shared" si="170"/>
        <v>313.75</v>
      </c>
      <c r="AD41" s="20">
        <f t="shared" si="171"/>
        <v>314.75</v>
      </c>
      <c r="AE41" s="19">
        <f t="shared" si="172"/>
        <v>315.25</v>
      </c>
      <c r="AF41" s="41">
        <f t="shared" si="173"/>
        <v>315.5</v>
      </c>
      <c r="AG41" s="20">
        <f t="shared" si="174"/>
        <v>316</v>
      </c>
      <c r="AH41" s="18">
        <f t="shared" si="175"/>
        <v>316.25</v>
      </c>
      <c r="AK41" s="22"/>
    </row>
    <row r="42" spans="1:37" s="21" customFormat="1" x14ac:dyDescent="0.25">
      <c r="A42" s="13" t="s">
        <v>45</v>
      </c>
      <c r="B42" s="14" t="str">
        <f t="shared" si="149"/>
        <v>Buy</v>
      </c>
      <c r="C42" s="15">
        <f t="shared" si="150"/>
        <v>28.75</v>
      </c>
      <c r="D42" s="14" t="str">
        <f t="shared" si="151"/>
        <v/>
      </c>
      <c r="E42" s="14" t="str">
        <f t="shared" si="152"/>
        <v/>
      </c>
      <c r="F42" s="16">
        <f>VLOOKUP(A42,LiveData!A:E,5,0)</f>
        <v>573.75</v>
      </c>
      <c r="G42" s="17">
        <f>VLOOKUP(A42,LiveData!A:E,2,0)</f>
        <v>543.79999999999995</v>
      </c>
      <c r="H42" s="17">
        <f>VLOOKUP(A42,LiveData!A:E,3,0)</f>
        <v>581.70000000000005</v>
      </c>
      <c r="I42" s="17">
        <f>VLOOKUP(A42,LiveData!A:E,4,0)</f>
        <v>543.04999999999995</v>
      </c>
      <c r="J42" s="17">
        <f>VLOOKUP(A42,LiveData!A:F,6,0)</f>
        <v>233.56</v>
      </c>
      <c r="K42" s="17">
        <f t="shared" si="153"/>
        <v>543.79999999999995</v>
      </c>
      <c r="L42" s="34">
        <f t="shared" si="154"/>
        <v>551</v>
      </c>
      <c r="M42" s="18">
        <f t="shared" si="155"/>
        <v>550.5</v>
      </c>
      <c r="N42" s="34">
        <f t="shared" si="156"/>
        <v>550</v>
      </c>
      <c r="O42" s="18">
        <f t="shared" si="157"/>
        <v>549.75</v>
      </c>
      <c r="P42" s="19">
        <f t="shared" si="158"/>
        <v>549</v>
      </c>
      <c r="Q42" s="31">
        <f t="shared" si="159"/>
        <v>547.5</v>
      </c>
      <c r="R42" s="20">
        <f t="shared" si="160"/>
        <v>546</v>
      </c>
      <c r="S42" s="19">
        <f t="shared" si="161"/>
        <v>545.25</v>
      </c>
      <c r="T42" s="1">
        <f t="shared" si="162"/>
        <v>545</v>
      </c>
      <c r="U42" s="20">
        <f t="shared" si="163"/>
        <v>544.5</v>
      </c>
      <c r="V42" s="18">
        <f t="shared" si="164"/>
        <v>544</v>
      </c>
      <c r="W42" s="38"/>
      <c r="X42" s="34">
        <f t="shared" si="165"/>
        <v>536.75</v>
      </c>
      <c r="Y42" s="18">
        <f t="shared" si="166"/>
        <v>537</v>
      </c>
      <c r="Z42" s="34">
        <f t="shared" si="167"/>
        <v>537.75</v>
      </c>
      <c r="AA42" s="18">
        <f t="shared" si="168"/>
        <v>538</v>
      </c>
      <c r="AB42" s="19">
        <f t="shared" si="169"/>
        <v>538.5</v>
      </c>
      <c r="AC42" s="31">
        <f t="shared" si="170"/>
        <v>540</v>
      </c>
      <c r="AD42" s="20">
        <f t="shared" si="171"/>
        <v>541.75</v>
      </c>
      <c r="AE42" s="19">
        <f t="shared" si="172"/>
        <v>542.25</v>
      </c>
      <c r="AF42" s="41">
        <f t="shared" si="173"/>
        <v>542.5</v>
      </c>
      <c r="AG42" s="20">
        <f t="shared" si="174"/>
        <v>543.25</v>
      </c>
      <c r="AH42" s="18">
        <f t="shared" si="175"/>
        <v>543.5</v>
      </c>
      <c r="AK42" s="22"/>
    </row>
    <row r="43" spans="1:37" s="21" customFormat="1" x14ac:dyDescent="0.25">
      <c r="A43" s="13" t="s">
        <v>9</v>
      </c>
      <c r="B43" s="14" t="str">
        <f t="shared" si="149"/>
        <v/>
      </c>
      <c r="C43" s="15" t="str">
        <f t="shared" si="150"/>
        <v/>
      </c>
      <c r="D43" s="14" t="str">
        <f t="shared" si="151"/>
        <v>Sell</v>
      </c>
      <c r="E43" s="14">
        <f t="shared" si="152"/>
        <v>-24</v>
      </c>
      <c r="F43" s="16">
        <f>VLOOKUP(A43,LiveData!A:E,5,0)</f>
        <v>2617</v>
      </c>
      <c r="G43" s="17">
        <f>VLOOKUP(A43,LiveData!A:E,2,0)</f>
        <v>2649.45</v>
      </c>
      <c r="H43" s="17">
        <f>VLOOKUP(A43,LiveData!A:E,3,0)</f>
        <v>2658.5</v>
      </c>
      <c r="I43" s="17">
        <f>VLOOKUP(A43,LiveData!A:E,4,0)</f>
        <v>2610.5</v>
      </c>
      <c r="J43" s="17">
        <f>VLOOKUP(A43,LiveData!A:F,6,0)</f>
        <v>3.7</v>
      </c>
      <c r="K43" s="17">
        <f t="shared" si="153"/>
        <v>2649.45</v>
      </c>
      <c r="L43" s="34">
        <f>MROUND(POWER(SQRT(K43)+$L$2,2),0.25)</f>
        <v>2699</v>
      </c>
      <c r="M43" s="18">
        <f>MROUND(POWER(SQRT(K43)+$M$2,2),0.25)</f>
        <v>2696.75</v>
      </c>
      <c r="N43" s="34">
        <f>MROUND(POWER(SQRT(K43)+$N$2,2),0.25)</f>
        <v>2692.5</v>
      </c>
      <c r="O43" s="18">
        <f>MROUND(POWER(SQRT(K43)+$O$2,2),0.25)</f>
        <v>2690.25</v>
      </c>
      <c r="P43" s="19">
        <f>MROUND(POWER(SQRT(K43)+$P$2,2),0.25)</f>
        <v>2686</v>
      </c>
      <c r="Q43" s="31">
        <f>MROUND(POWER(SQRT(K43)+$Q$2,2),0.25)</f>
        <v>2675.25</v>
      </c>
      <c r="R43" s="20">
        <f>MROUND(POWER(SQRT(K43)+$R$2,2),0.25)</f>
        <v>2664.5</v>
      </c>
      <c r="S43" s="19">
        <f>MROUND(POWER(SQRT(K43)+$S$2,2),0.25)</f>
        <v>2660.25</v>
      </c>
      <c r="T43" s="1">
        <f>MROUND(POWER(SQRT(K43)+$T$2,2),0.25)</f>
        <v>2658</v>
      </c>
      <c r="U43" s="20">
        <f>MROUND(POWER(SQRT(K43)+$U$2,2),0.25)</f>
        <v>2653.75</v>
      </c>
      <c r="V43" s="18">
        <f>MROUND(POWER(SQRT(K43)+$V$2,2),0.25)</f>
        <v>2651.5</v>
      </c>
      <c r="W43" s="38"/>
      <c r="X43" s="34">
        <f>MROUND(POWER(SQRT(K43)-$X$2,2),0.25)</f>
        <v>2600.25</v>
      </c>
      <c r="Y43" s="18">
        <f>MROUND(POWER(SQRT(K43)-$Y$2,2),0.25)</f>
        <v>2602.5</v>
      </c>
      <c r="Z43" s="34">
        <f>MROUND(POWER(SQRT(K43)-$Z$2,2),0.25)</f>
        <v>2606.75</v>
      </c>
      <c r="AA43" s="18">
        <f>MROUND(POWER(SQRT(K43)-$AA$2,2),0.25)</f>
        <v>2608.75</v>
      </c>
      <c r="AB43" s="19">
        <f>MROUND(POWER(SQRT(K43)-$AB$2,2),0.25)</f>
        <v>2613</v>
      </c>
      <c r="AC43" s="31">
        <f>MROUND(POWER(SQRT(K43)-$AC$2,2),0.25)</f>
        <v>2623.75</v>
      </c>
      <c r="AD43" s="20">
        <f>MROUND(POWER(SQRT(K43)-$AD$2,2),0.25)</f>
        <v>2634.5</v>
      </c>
      <c r="AE43" s="19">
        <f>MROUND(POWER(SQRT(K43)-$AE$2,2),0.25)</f>
        <v>2638.75</v>
      </c>
      <c r="AF43" s="41">
        <f>MROUND(POWER(SQRT(K43)-$AF$2,2),0.25)</f>
        <v>2641</v>
      </c>
      <c r="AG43" s="20">
        <f>MROUND(POWER(SQRT(K43)-$AG$2,2),0.25)</f>
        <v>2645.25</v>
      </c>
      <c r="AH43" s="18">
        <f>MROUND(POWER(SQRT(K43)-$AH$2,2),0.25)</f>
        <v>2647.25</v>
      </c>
      <c r="AK43" s="22"/>
    </row>
    <row r="44" spans="1:37" s="21" customFormat="1" x14ac:dyDescent="0.25">
      <c r="A44" s="13" t="s">
        <v>46</v>
      </c>
      <c r="B44" s="14" t="str">
        <f t="shared" si="149"/>
        <v/>
      </c>
      <c r="C44" s="15" t="str">
        <f t="shared" si="150"/>
        <v/>
      </c>
      <c r="D44" s="14" t="str">
        <f t="shared" si="151"/>
        <v>Sell</v>
      </c>
      <c r="E44" s="14">
        <f t="shared" si="152"/>
        <v>-1.3999999999999773</v>
      </c>
      <c r="F44" s="16">
        <f>VLOOKUP(A44,LiveData!A:E,5,0)</f>
        <v>421.1</v>
      </c>
      <c r="G44" s="17">
        <f>VLOOKUP(A44,LiveData!A:E,2,0)</f>
        <v>423.5</v>
      </c>
      <c r="H44" s="17">
        <f>VLOOKUP(A44,LiveData!A:E,3,0)</f>
        <v>428.45</v>
      </c>
      <c r="I44" s="17">
        <f>VLOOKUP(A44,LiveData!A:E,4,0)</f>
        <v>420.3</v>
      </c>
      <c r="J44" s="17">
        <f>VLOOKUP(A44,LiveData!A:F,6,0)</f>
        <v>36.729999999999997</v>
      </c>
      <c r="K44" s="17">
        <f t="shared" si="153"/>
        <v>423.5</v>
      </c>
      <c r="L44" s="34">
        <f t="shared" ref="L44:L47" si="176">MROUND((POWER(SQRT(K44*10)+$L$2,2))/10,0.25)</f>
        <v>429.75</v>
      </c>
      <c r="M44" s="18">
        <f t="shared" ref="M44:M47" si="177">MROUND((POWER(SQRT(K44*10)+$M$2,2))/10,0.25)</f>
        <v>429.5</v>
      </c>
      <c r="N44" s="34">
        <f t="shared" ref="N44:N47" si="178">MROUND((POWER(SQRT(K44*10)+$N$2,2))/10,0.25)</f>
        <v>429</v>
      </c>
      <c r="O44" s="18">
        <f t="shared" ref="O44:O47" si="179">MROUND((POWER(SQRT(K44*10)+$O$2,2))/10,0.25)</f>
        <v>428.75</v>
      </c>
      <c r="P44" s="19">
        <f t="shared" ref="P44:P47" si="180">MROUND((POWER(SQRT(K44*10)+$P$2,2))/10,0.25)</f>
        <v>428</v>
      </c>
      <c r="Q44" s="31">
        <f t="shared" ref="Q44:Q47" si="181">MROUND((POWER(SQRT(K44*10)+$Q$2,2))/10,0.25)</f>
        <v>426.75</v>
      </c>
      <c r="R44" s="20">
        <f t="shared" ref="R44:R47" si="182">MROUND((POWER(SQRT(K44*10)+$R$2,2))/10,0.25)</f>
        <v>425.5</v>
      </c>
      <c r="S44" s="19">
        <f t="shared" ref="S44:S47" si="183">MROUND((POWER(SQRT(K44*10)+$S$2,2))/10,0.25)</f>
        <v>424.75</v>
      </c>
      <c r="T44" s="1">
        <f t="shared" ref="T44:T47" si="184">MROUND((POWER(SQRT(K44*10)+$T$2,2))/10,0.25)</f>
        <v>424.5</v>
      </c>
      <c r="U44" s="20">
        <f t="shared" ref="U44:U47" si="185">MROUND((POWER(SQRT(K44*10)+$U$2,2))/10,0.25)</f>
        <v>424</v>
      </c>
      <c r="V44" s="18">
        <f t="shared" ref="V44:V47" si="186">MROUND((POWER(SQRT(K44*10)+$V$2,2))/10,0.25)</f>
        <v>423.75</v>
      </c>
      <c r="W44" s="38"/>
      <c r="X44" s="34">
        <f t="shared" ref="X44:X47" si="187">MROUND((POWER(SQRT(K44*10)-$X$2,2))/10,0.25)</f>
        <v>417.25</v>
      </c>
      <c r="Y44" s="18">
        <f t="shared" ref="Y44:Y47" si="188">MROUND((POWER(SQRT(K44*10)-$Y$2,2))/10,0.25)</f>
        <v>417.5</v>
      </c>
      <c r="Z44" s="34">
        <f t="shared" ref="Z44:Z47" si="189">MROUND((POWER(SQRT(K44*10)-$Z$2,2))/10,0.25)</f>
        <v>418</v>
      </c>
      <c r="AA44" s="18">
        <f t="shared" ref="AA44:AA47" si="190">MROUND((POWER(SQRT(K44*10)-$AA$2,2))/10,0.25)</f>
        <v>418.25</v>
      </c>
      <c r="AB44" s="19">
        <f t="shared" ref="AB44:AB47" si="191">MROUND((POWER(SQRT(K44*10)-$AB$2,2))/10,0.25)</f>
        <v>419</v>
      </c>
      <c r="AC44" s="31">
        <f t="shared" ref="AC44:AC47" si="192">MROUND((POWER(SQRT(K44*10)-$AC$2,2))/10,0.25)</f>
        <v>420.25</v>
      </c>
      <c r="AD44" s="20">
        <f t="shared" ref="AD44:AD47" si="193">MROUND((POWER(SQRT(K44*10)-$AD$2,2))/10,0.25)</f>
        <v>421.5</v>
      </c>
      <c r="AE44" s="19">
        <f t="shared" ref="AE44:AE47" si="194">MROUND((POWER(SQRT(K44*10)-$AE$2,2))/10,0.25)</f>
        <v>422.25</v>
      </c>
      <c r="AF44" s="41">
        <f t="shared" ref="AF44:AF47" si="195">MROUND((POWER(SQRT(K44*10)-$AF$2,2))/10,0.25)</f>
        <v>422.5</v>
      </c>
      <c r="AG44" s="20">
        <f t="shared" ref="AG44:AG47" si="196">MROUND((POWER(SQRT(K44*10)-$AG$2,2))/10,0.25)</f>
        <v>423</v>
      </c>
      <c r="AH44" s="18">
        <f t="shared" ref="AH44:AH47" si="197">MROUND((POWER(SQRT(K44*10)-$AH$2,2))/10,0.25)</f>
        <v>423.25</v>
      </c>
      <c r="AK44" s="22"/>
    </row>
    <row r="45" spans="1:37" s="21" customFormat="1" x14ac:dyDescent="0.25">
      <c r="A45" s="13" t="s">
        <v>47</v>
      </c>
      <c r="B45" s="14" t="str">
        <f t="shared" si="149"/>
        <v/>
      </c>
      <c r="C45" s="15" t="str">
        <f t="shared" si="150"/>
        <v/>
      </c>
      <c r="D45" s="14" t="str">
        <f t="shared" si="151"/>
        <v/>
      </c>
      <c r="E45" s="14" t="str">
        <f t="shared" si="152"/>
        <v/>
      </c>
      <c r="F45" s="16">
        <f>VLOOKUP(A45,LiveData!A:E,5,0)</f>
        <v>722</v>
      </c>
      <c r="G45" s="17">
        <f>VLOOKUP(A45,LiveData!A:E,2,0)</f>
        <v>721.75</v>
      </c>
      <c r="H45" s="17">
        <f>VLOOKUP(A45,LiveData!A:E,3,0)</f>
        <v>729.6</v>
      </c>
      <c r="I45" s="17">
        <f>VLOOKUP(A45,LiveData!A:E,4,0)</f>
        <v>717.9</v>
      </c>
      <c r="J45" s="17">
        <f>VLOOKUP(A45,LiveData!A:F,6,0)</f>
        <v>36.119999999999997</v>
      </c>
      <c r="K45" s="17">
        <f t="shared" si="153"/>
        <v>721.75</v>
      </c>
      <c r="L45" s="34">
        <f t="shared" si="176"/>
        <v>730</v>
      </c>
      <c r="M45" s="18">
        <f t="shared" si="177"/>
        <v>729.5</v>
      </c>
      <c r="N45" s="34">
        <f t="shared" si="178"/>
        <v>728.75</v>
      </c>
      <c r="O45" s="18">
        <f t="shared" si="179"/>
        <v>728.5</v>
      </c>
      <c r="P45" s="19">
        <f t="shared" si="180"/>
        <v>727.75</v>
      </c>
      <c r="Q45" s="31">
        <f t="shared" si="181"/>
        <v>726</v>
      </c>
      <c r="R45" s="20">
        <f t="shared" si="182"/>
        <v>724.25</v>
      </c>
      <c r="S45" s="19">
        <f t="shared" si="183"/>
        <v>723.5</v>
      </c>
      <c r="T45" s="1">
        <f t="shared" si="184"/>
        <v>723.25</v>
      </c>
      <c r="U45" s="20">
        <f t="shared" si="185"/>
        <v>722.5</v>
      </c>
      <c r="V45" s="18">
        <f t="shared" si="186"/>
        <v>722</v>
      </c>
      <c r="W45" s="38"/>
      <c r="X45" s="34">
        <f t="shared" si="187"/>
        <v>713.75</v>
      </c>
      <c r="Y45" s="18">
        <f t="shared" si="188"/>
        <v>714</v>
      </c>
      <c r="Z45" s="34">
        <f t="shared" si="189"/>
        <v>714.75</v>
      </c>
      <c r="AA45" s="18">
        <f t="shared" si="190"/>
        <v>715</v>
      </c>
      <c r="AB45" s="19">
        <f t="shared" si="191"/>
        <v>715.75</v>
      </c>
      <c r="AC45" s="31">
        <f t="shared" si="192"/>
        <v>717.5</v>
      </c>
      <c r="AD45" s="20">
        <f t="shared" si="193"/>
        <v>719.25</v>
      </c>
      <c r="AE45" s="19">
        <f t="shared" si="194"/>
        <v>720</v>
      </c>
      <c r="AF45" s="41">
        <f t="shared" si="195"/>
        <v>720.25</v>
      </c>
      <c r="AG45" s="20">
        <f t="shared" si="196"/>
        <v>721</v>
      </c>
      <c r="AH45" s="18">
        <f t="shared" si="197"/>
        <v>721.5</v>
      </c>
      <c r="AK45" s="22"/>
    </row>
    <row r="46" spans="1:37" s="21" customFormat="1" x14ac:dyDescent="0.25">
      <c r="A46" s="13" t="s">
        <v>48</v>
      </c>
      <c r="B46" s="14" t="str">
        <f t="shared" si="149"/>
        <v>Buy</v>
      </c>
      <c r="C46" s="15">
        <f t="shared" si="150"/>
        <v>5.6999999999999886</v>
      </c>
      <c r="D46" s="14" t="str">
        <f t="shared" si="151"/>
        <v/>
      </c>
      <c r="E46" s="14" t="str">
        <f t="shared" si="152"/>
        <v/>
      </c>
      <c r="F46" s="16">
        <f>VLOOKUP(A46,LiveData!A:E,5,0)</f>
        <v>501.45</v>
      </c>
      <c r="G46" s="17">
        <f>VLOOKUP(A46,LiveData!A:E,2,0)</f>
        <v>494.5</v>
      </c>
      <c r="H46" s="17">
        <f>VLOOKUP(A46,LiveData!A:E,3,0)</f>
        <v>505.4</v>
      </c>
      <c r="I46" s="17">
        <f>VLOOKUP(A46,LiveData!A:E,4,0)</f>
        <v>491.25</v>
      </c>
      <c r="J46" s="17">
        <f>VLOOKUP(A46,LiveData!A:F,6,0)</f>
        <v>21.61</v>
      </c>
      <c r="K46" s="17">
        <f t="shared" si="153"/>
        <v>494.5</v>
      </c>
      <c r="L46" s="34">
        <f t="shared" si="176"/>
        <v>501.25</v>
      </c>
      <c r="M46" s="18">
        <f t="shared" si="177"/>
        <v>501</v>
      </c>
      <c r="N46" s="34">
        <f t="shared" si="178"/>
        <v>500.5</v>
      </c>
      <c r="O46" s="18">
        <f t="shared" si="179"/>
        <v>500</v>
      </c>
      <c r="P46" s="19">
        <f t="shared" si="180"/>
        <v>499.5</v>
      </c>
      <c r="Q46" s="31">
        <f t="shared" si="181"/>
        <v>498</v>
      </c>
      <c r="R46" s="20">
        <f t="shared" si="182"/>
        <v>496.5</v>
      </c>
      <c r="S46" s="19">
        <f t="shared" si="183"/>
        <v>496</v>
      </c>
      <c r="T46" s="1">
        <f t="shared" si="184"/>
        <v>495.75</v>
      </c>
      <c r="U46" s="20">
        <f t="shared" si="185"/>
        <v>495</v>
      </c>
      <c r="V46" s="18">
        <f t="shared" si="186"/>
        <v>494.75</v>
      </c>
      <c r="W46" s="38"/>
      <c r="X46" s="34">
        <f t="shared" si="187"/>
        <v>487.75</v>
      </c>
      <c r="Y46" s="18">
        <f t="shared" si="188"/>
        <v>488</v>
      </c>
      <c r="Z46" s="34">
        <f t="shared" si="189"/>
        <v>488.75</v>
      </c>
      <c r="AA46" s="18">
        <f t="shared" si="190"/>
        <v>489</v>
      </c>
      <c r="AB46" s="19">
        <f t="shared" si="191"/>
        <v>489.5</v>
      </c>
      <c r="AC46" s="31">
        <f t="shared" si="192"/>
        <v>491</v>
      </c>
      <c r="AD46" s="20">
        <f t="shared" si="193"/>
        <v>492.5</v>
      </c>
      <c r="AE46" s="19">
        <f t="shared" si="194"/>
        <v>493</v>
      </c>
      <c r="AF46" s="41">
        <f t="shared" si="195"/>
        <v>493.25</v>
      </c>
      <c r="AG46" s="20">
        <f t="shared" si="196"/>
        <v>494</v>
      </c>
      <c r="AH46" s="18">
        <f t="shared" si="197"/>
        <v>494.25</v>
      </c>
      <c r="AK46" s="22"/>
    </row>
    <row r="47" spans="1:37" s="21" customFormat="1" x14ac:dyDescent="0.25">
      <c r="A47" s="13" t="s">
        <v>7</v>
      </c>
      <c r="B47" s="14" t="str">
        <f t="shared" si="149"/>
        <v/>
      </c>
      <c r="C47" s="15" t="str">
        <f t="shared" si="150"/>
        <v/>
      </c>
      <c r="D47" s="14" t="str">
        <f t="shared" si="151"/>
        <v/>
      </c>
      <c r="E47" s="14" t="str">
        <f t="shared" si="152"/>
        <v/>
      </c>
      <c r="F47" s="16">
        <f>VLOOKUP(A47,LiveData!A:E,5,0)</f>
        <v>739</v>
      </c>
      <c r="G47" s="17">
        <f>VLOOKUP(A47,LiveData!A:E,2,0)</f>
        <v>738.7</v>
      </c>
      <c r="H47" s="17">
        <f>VLOOKUP(A47,LiveData!A:E,3,0)</f>
        <v>746.5</v>
      </c>
      <c r="I47" s="17">
        <f>VLOOKUP(A47,LiveData!A:E,4,0)</f>
        <v>735.6</v>
      </c>
      <c r="J47" s="17">
        <f>VLOOKUP(A47,LiveData!A:F,6,0)</f>
        <v>11.38</v>
      </c>
      <c r="K47" s="17">
        <f t="shared" si="153"/>
        <v>738.7</v>
      </c>
      <c r="L47" s="34">
        <f t="shared" si="176"/>
        <v>747</v>
      </c>
      <c r="M47" s="18">
        <f t="shared" si="177"/>
        <v>746.5</v>
      </c>
      <c r="N47" s="34">
        <f t="shared" si="178"/>
        <v>746</v>
      </c>
      <c r="O47" s="18">
        <f t="shared" si="179"/>
        <v>745.5</v>
      </c>
      <c r="P47" s="19">
        <f t="shared" si="180"/>
        <v>744.75</v>
      </c>
      <c r="Q47" s="31">
        <f t="shared" si="181"/>
        <v>743</v>
      </c>
      <c r="R47" s="20">
        <f t="shared" si="182"/>
        <v>741.25</v>
      </c>
      <c r="S47" s="19">
        <f t="shared" si="183"/>
        <v>740.5</v>
      </c>
      <c r="T47" s="1">
        <f t="shared" si="184"/>
        <v>740.25</v>
      </c>
      <c r="U47" s="20">
        <f t="shared" si="185"/>
        <v>739.5</v>
      </c>
      <c r="V47" s="18">
        <f t="shared" si="186"/>
        <v>739</v>
      </c>
      <c r="W47" s="38"/>
      <c r="X47" s="34">
        <f t="shared" si="187"/>
        <v>730.5</v>
      </c>
      <c r="Y47" s="18">
        <f t="shared" si="188"/>
        <v>730.75</v>
      </c>
      <c r="Z47" s="34">
        <f t="shared" si="189"/>
        <v>731.5</v>
      </c>
      <c r="AA47" s="18">
        <f t="shared" si="190"/>
        <v>732</v>
      </c>
      <c r="AB47" s="19">
        <f t="shared" si="191"/>
        <v>732.5</v>
      </c>
      <c r="AC47" s="31">
        <f t="shared" si="192"/>
        <v>734.5</v>
      </c>
      <c r="AD47" s="20">
        <f t="shared" si="193"/>
        <v>736.25</v>
      </c>
      <c r="AE47" s="19">
        <f t="shared" si="194"/>
        <v>737</v>
      </c>
      <c r="AF47" s="41">
        <f t="shared" si="195"/>
        <v>737.25</v>
      </c>
      <c r="AG47" s="20">
        <f t="shared" si="196"/>
        <v>738</v>
      </c>
      <c r="AH47" s="18">
        <f t="shared" si="197"/>
        <v>738.25</v>
      </c>
      <c r="AK47" s="22"/>
    </row>
    <row r="48" spans="1:37" s="21" customFormat="1" x14ac:dyDescent="0.25">
      <c r="A48" s="13" t="s">
        <v>49</v>
      </c>
      <c r="B48" s="14" t="str">
        <f t="shared" si="149"/>
        <v/>
      </c>
      <c r="C48" s="15" t="str">
        <f t="shared" si="150"/>
        <v/>
      </c>
      <c r="D48" s="14" t="str">
        <f t="shared" si="151"/>
        <v>Sell</v>
      </c>
      <c r="E48" s="14">
        <f t="shared" si="152"/>
        <v>-30</v>
      </c>
      <c r="F48" s="16">
        <f>VLOOKUP(A48,LiveData!A:E,5,0)</f>
        <v>4272</v>
      </c>
      <c r="G48" s="17">
        <f>VLOOKUP(A48,LiveData!A:E,2,0)</f>
        <v>4313</v>
      </c>
      <c r="H48" s="17">
        <f>VLOOKUP(A48,LiveData!A:E,3,0)</f>
        <v>4337.95</v>
      </c>
      <c r="I48" s="17">
        <f>VLOOKUP(A48,LiveData!A:E,4,0)</f>
        <v>4265.1499999999996</v>
      </c>
      <c r="J48" s="17">
        <f>VLOOKUP(A48,LiveData!A:F,6,0)</f>
        <v>0.85</v>
      </c>
      <c r="K48" s="17">
        <f t="shared" si="153"/>
        <v>4313</v>
      </c>
      <c r="L48" s="34">
        <f>MROUND(POWER(SQRT(K48)+$L$2,2),0.25)</f>
        <v>4376.25</v>
      </c>
      <c r="M48" s="18">
        <f>MROUND(POWER(SQRT(K48)+$M$2,2),0.25)</f>
        <v>4373.5</v>
      </c>
      <c r="N48" s="34">
        <f>MROUND(POWER(SQRT(K48)+$N$2,2),0.25)</f>
        <v>4368</v>
      </c>
      <c r="O48" s="18">
        <f>MROUND(POWER(SQRT(K48)+$O$2,2),0.25)</f>
        <v>4365.25</v>
      </c>
      <c r="P48" s="19">
        <f>MROUND(POWER(SQRT(K48)+$P$2,2),0.25)</f>
        <v>4359.75</v>
      </c>
      <c r="Q48" s="31">
        <f>MROUND(POWER(SQRT(K48)+$Q$2,2),0.25)</f>
        <v>4346</v>
      </c>
      <c r="R48" s="20">
        <f>MROUND(POWER(SQRT(K48)+$R$2,2),0.25)</f>
        <v>4332.25</v>
      </c>
      <c r="S48" s="19">
        <f>MROUND(POWER(SQRT(K48)+$S$2,2),0.25)</f>
        <v>4326.75</v>
      </c>
      <c r="T48" s="1">
        <f>MROUND(POWER(SQRT(K48)+$T$2,2),0.25)</f>
        <v>4324</v>
      </c>
      <c r="U48" s="20">
        <f>MROUND(POWER(SQRT(K48)+$U$2,2),0.25)</f>
        <v>4318.5</v>
      </c>
      <c r="V48" s="18">
        <f>MROUND(POWER(SQRT(K48)+$V$2,2),0.25)</f>
        <v>4315.75</v>
      </c>
      <c r="W48" s="38"/>
      <c r="X48" s="34">
        <f>MROUND(POWER(SQRT(K48)-$X$2,2),0.25)</f>
        <v>4250.25</v>
      </c>
      <c r="Y48" s="18">
        <f>MROUND(POWER(SQRT(K48)-$Y$2,2),0.25)</f>
        <v>4253</v>
      </c>
      <c r="Z48" s="34">
        <f>MROUND(POWER(SQRT(K48)-$Z$2,2),0.25)</f>
        <v>4258.5</v>
      </c>
      <c r="AA48" s="18">
        <f>MROUND(POWER(SQRT(K48)-$AA$2,2),0.25)</f>
        <v>4261.25</v>
      </c>
      <c r="AB48" s="19">
        <f>MROUND(POWER(SQRT(K48)-$AB$2,2),0.25)</f>
        <v>4266.5</v>
      </c>
      <c r="AC48" s="31">
        <f>MROUND(POWER(SQRT(K48)-$AC$2,2),0.25)</f>
        <v>4280.25</v>
      </c>
      <c r="AD48" s="20">
        <f>MROUND(POWER(SQRT(K48)-$AD$2,2),0.25)</f>
        <v>4293.75</v>
      </c>
      <c r="AE48" s="19">
        <f>MROUND(POWER(SQRT(K48)-$AE$2,2),0.25)</f>
        <v>4299.25</v>
      </c>
      <c r="AF48" s="41">
        <f>MROUND(POWER(SQRT(K48)-$AF$2,2),0.25)</f>
        <v>4302</v>
      </c>
      <c r="AG48" s="20">
        <f>MROUND(POWER(SQRT(K48)-$AG$2,2),0.25)</f>
        <v>4307.5</v>
      </c>
      <c r="AH48" s="18">
        <f>MROUND(POWER(SQRT(K48)-$AH$2,2),0.25)</f>
        <v>4310.25</v>
      </c>
      <c r="AK48" s="22"/>
    </row>
    <row r="49" spans="1:37" s="21" customFormat="1" x14ac:dyDescent="0.25">
      <c r="A49" s="13" t="s">
        <v>50</v>
      </c>
      <c r="B49" s="14" t="str">
        <f t="shared" si="149"/>
        <v>Buy</v>
      </c>
      <c r="C49" s="15">
        <f t="shared" si="150"/>
        <v>0.19999999999998863</v>
      </c>
      <c r="D49" s="14" t="str">
        <f t="shared" si="151"/>
        <v/>
      </c>
      <c r="E49" s="14" t="str">
        <f t="shared" si="152"/>
        <v/>
      </c>
      <c r="F49" s="16">
        <f>VLOOKUP(A49,LiveData!A:E,5,0)</f>
        <v>324.7</v>
      </c>
      <c r="G49" s="17">
        <f>VLOOKUP(A49,LiveData!A:E,2,0)</f>
        <v>323.55</v>
      </c>
      <c r="H49" s="17">
        <f>VLOOKUP(A49,LiveData!A:E,3,0)</f>
        <v>328.25</v>
      </c>
      <c r="I49" s="17">
        <f>VLOOKUP(A49,LiveData!A:E,4,0)</f>
        <v>320.60000000000002</v>
      </c>
      <c r="J49" s="17">
        <f>VLOOKUP(A49,LiveData!A:F,6,0)</f>
        <v>91.25</v>
      </c>
      <c r="K49" s="17">
        <f t="shared" si="153"/>
        <v>323.55</v>
      </c>
      <c r="L49" s="34">
        <f t="shared" ref="L49:L52" si="198">MROUND((POWER(SQRT(K49*10)+$L$2,2))/10,0.25)</f>
        <v>329</v>
      </c>
      <c r="M49" s="18">
        <f t="shared" ref="M49:M52" si="199">MROUND((POWER(SQRT(K49*10)+$M$2,2))/10,0.25)</f>
        <v>328.75</v>
      </c>
      <c r="N49" s="34">
        <f t="shared" ref="N49:N52" si="200">MROUND((POWER(SQRT(K49*10)+$N$2,2))/10,0.25)</f>
        <v>328.25</v>
      </c>
      <c r="O49" s="18">
        <f t="shared" ref="O49:O52" si="201">MROUND((POWER(SQRT(K49*10)+$O$2,2))/10,0.25)</f>
        <v>328</v>
      </c>
      <c r="P49" s="19">
        <f t="shared" ref="P49:P52" si="202">MROUND((POWER(SQRT(K49*10)+$P$2,2))/10,0.25)</f>
        <v>327.5</v>
      </c>
      <c r="Q49" s="31">
        <f t="shared" ref="Q49:Q52" si="203">MROUND((POWER(SQRT(K49*10)+$Q$2,2))/10,0.25)</f>
        <v>326.5</v>
      </c>
      <c r="R49" s="20">
        <f t="shared" ref="R49:R52" si="204">MROUND((POWER(SQRT(K49*10)+$R$2,2))/10,0.25)</f>
        <v>325.25</v>
      </c>
      <c r="S49" s="19">
        <f t="shared" ref="S49:S52" si="205">MROUND((POWER(SQRT(K49*10)+$S$2,2))/10,0.25)</f>
        <v>324.75</v>
      </c>
      <c r="T49" s="1">
        <f t="shared" ref="T49:T52" si="206">MROUND((POWER(SQRT(K49*10)+$T$2,2))/10,0.25)</f>
        <v>324.5</v>
      </c>
      <c r="U49" s="20">
        <f t="shared" ref="U49:U52" si="207">MROUND((POWER(SQRT(K49*10)+$U$2,2))/10,0.25)</f>
        <v>324</v>
      </c>
      <c r="V49" s="18">
        <f t="shared" ref="V49:V52" si="208">MROUND((POWER(SQRT(K49*10)+$V$2,2))/10,0.25)</f>
        <v>323.75</v>
      </c>
      <c r="W49" s="38"/>
      <c r="X49" s="34">
        <f t="shared" ref="X49:X52" si="209">MROUND((POWER(SQRT(K49*10)-$X$2,2))/10,0.25)</f>
        <v>318</v>
      </c>
      <c r="Y49" s="18">
        <f t="shared" ref="Y49:Y52" si="210">MROUND((POWER(SQRT(K49*10)-$Y$2,2))/10,0.25)</f>
        <v>318.25</v>
      </c>
      <c r="Z49" s="34">
        <f t="shared" ref="Z49:Z52" si="211">MROUND((POWER(SQRT(K49*10)-$Z$2,2))/10,0.25)</f>
        <v>318.75</v>
      </c>
      <c r="AA49" s="18">
        <f t="shared" ref="AA49:AA52" si="212">MROUND((POWER(SQRT(K49*10)-$AA$2,2))/10,0.25)</f>
        <v>319</v>
      </c>
      <c r="AB49" s="19">
        <f t="shared" ref="AB49:AB52" si="213">MROUND((POWER(SQRT(K49*10)-$AB$2,2))/10,0.25)</f>
        <v>319.5</v>
      </c>
      <c r="AC49" s="31">
        <f t="shared" ref="AC49:AC52" si="214">MROUND((POWER(SQRT(K49*10)-$AC$2,2))/10,0.25)</f>
        <v>320.75</v>
      </c>
      <c r="AD49" s="20">
        <f t="shared" ref="AD49:AD52" si="215">MROUND((POWER(SQRT(K49*10)-$AD$2,2))/10,0.25)</f>
        <v>322</v>
      </c>
      <c r="AE49" s="19">
        <f t="shared" ref="AE49:AE52" si="216">MROUND((POWER(SQRT(K49*10)-$AE$2,2))/10,0.25)</f>
        <v>322.25</v>
      </c>
      <c r="AF49" s="41">
        <f t="shared" ref="AF49:AF52" si="217">MROUND((POWER(SQRT(K49*10)-$AF$2,2))/10,0.25)</f>
        <v>322.5</v>
      </c>
      <c r="AG49" s="20">
        <f t="shared" ref="AG49:AG52" si="218">MROUND((POWER(SQRT(K49*10)-$AG$2,2))/10,0.25)</f>
        <v>323</v>
      </c>
      <c r="AH49" s="18">
        <f t="shared" ref="AH49:AH52" si="219">MROUND((POWER(SQRT(K49*10)-$AH$2,2))/10,0.25)</f>
        <v>323.25</v>
      </c>
      <c r="AK49" s="22"/>
    </row>
    <row r="50" spans="1:37" s="21" customFormat="1" x14ac:dyDescent="0.25">
      <c r="A50" s="13" t="s">
        <v>51</v>
      </c>
      <c r="B50" s="14" t="str">
        <f t="shared" si="149"/>
        <v>Buy</v>
      </c>
      <c r="C50" s="15">
        <f t="shared" si="150"/>
        <v>1.8500000000000227</v>
      </c>
      <c r="D50" s="14" t="str">
        <f t="shared" si="151"/>
        <v/>
      </c>
      <c r="E50" s="14" t="str">
        <f t="shared" si="152"/>
        <v/>
      </c>
      <c r="F50" s="16">
        <f>VLOOKUP(A50,LiveData!A:E,5,0)</f>
        <v>306.60000000000002</v>
      </c>
      <c r="G50" s="17">
        <f>VLOOKUP(A50,LiveData!A:E,2,0)</f>
        <v>303.89999999999998</v>
      </c>
      <c r="H50" s="17">
        <f>VLOOKUP(A50,LiveData!A:E,3,0)</f>
        <v>308</v>
      </c>
      <c r="I50" s="17">
        <f>VLOOKUP(A50,LiveData!A:E,4,0)</f>
        <v>300.05</v>
      </c>
      <c r="J50" s="17">
        <f>VLOOKUP(A50,LiveData!A:F,6,0)</f>
        <v>18.16</v>
      </c>
      <c r="K50" s="17">
        <f t="shared" si="153"/>
        <v>303.89999999999998</v>
      </c>
      <c r="L50" s="34">
        <f t="shared" si="198"/>
        <v>309.25</v>
      </c>
      <c r="M50" s="18">
        <f t="shared" si="199"/>
        <v>309</v>
      </c>
      <c r="N50" s="34">
        <f t="shared" si="200"/>
        <v>308.5</v>
      </c>
      <c r="O50" s="18">
        <f t="shared" si="201"/>
        <v>308.25</v>
      </c>
      <c r="P50" s="19">
        <f t="shared" si="202"/>
        <v>307.75</v>
      </c>
      <c r="Q50" s="31">
        <f t="shared" si="203"/>
        <v>306.75</v>
      </c>
      <c r="R50" s="20">
        <f t="shared" si="204"/>
        <v>305.5</v>
      </c>
      <c r="S50" s="19">
        <f t="shared" si="205"/>
        <v>305</v>
      </c>
      <c r="T50" s="1">
        <f t="shared" si="206"/>
        <v>304.75</v>
      </c>
      <c r="U50" s="20">
        <f t="shared" si="207"/>
        <v>304.25</v>
      </c>
      <c r="V50" s="18">
        <f t="shared" si="208"/>
        <v>304.25</v>
      </c>
      <c r="W50" s="38"/>
      <c r="X50" s="34">
        <f t="shared" si="209"/>
        <v>298.75</v>
      </c>
      <c r="Y50" s="18">
        <f t="shared" si="210"/>
        <v>298.75</v>
      </c>
      <c r="Z50" s="34">
        <f t="shared" si="211"/>
        <v>299.25</v>
      </c>
      <c r="AA50" s="18">
        <f t="shared" si="212"/>
        <v>299.5</v>
      </c>
      <c r="AB50" s="19">
        <f t="shared" si="213"/>
        <v>300</v>
      </c>
      <c r="AC50" s="31">
        <f t="shared" si="214"/>
        <v>301.25</v>
      </c>
      <c r="AD50" s="20">
        <f t="shared" si="215"/>
        <v>302.25</v>
      </c>
      <c r="AE50" s="19">
        <f t="shared" si="216"/>
        <v>302.75</v>
      </c>
      <c r="AF50" s="41">
        <f t="shared" si="217"/>
        <v>303</v>
      </c>
      <c r="AG50" s="20">
        <f t="shared" si="218"/>
        <v>303.5</v>
      </c>
      <c r="AH50" s="18">
        <f t="shared" si="219"/>
        <v>303.75</v>
      </c>
      <c r="AK50" s="22"/>
    </row>
    <row r="51" spans="1:37" s="21" customFormat="1" x14ac:dyDescent="0.25">
      <c r="A51" s="13" t="s">
        <v>52</v>
      </c>
      <c r="B51" s="14" t="str">
        <f t="shared" si="149"/>
        <v/>
      </c>
      <c r="C51" s="15" t="str">
        <f t="shared" si="150"/>
        <v/>
      </c>
      <c r="D51" s="14" t="str">
        <f t="shared" si="151"/>
        <v>Sell</v>
      </c>
      <c r="E51" s="14">
        <f t="shared" si="152"/>
        <v>-1.8500000000000227</v>
      </c>
      <c r="F51" s="16">
        <f>VLOOKUP(A51,LiveData!A:E,5,0)</f>
        <v>313.89999999999998</v>
      </c>
      <c r="G51" s="17">
        <f>VLOOKUP(A51,LiveData!A:E,2,0)</f>
        <v>316.64999999999998</v>
      </c>
      <c r="H51" s="17">
        <f>VLOOKUP(A51,LiveData!A:E,3,0)</f>
        <v>318.95</v>
      </c>
      <c r="I51" s="17">
        <f>VLOOKUP(A51,LiveData!A:E,4,0)</f>
        <v>313.35000000000002</v>
      </c>
      <c r="J51" s="17">
        <f>VLOOKUP(A51,LiveData!A:F,6,0)</f>
        <v>89.12</v>
      </c>
      <c r="K51" s="17">
        <f t="shared" si="153"/>
        <v>316.64999999999998</v>
      </c>
      <c r="L51" s="34">
        <f t="shared" si="198"/>
        <v>322</v>
      </c>
      <c r="M51" s="18">
        <f t="shared" si="199"/>
        <v>321.75</v>
      </c>
      <c r="N51" s="34">
        <f t="shared" si="200"/>
        <v>321.25</v>
      </c>
      <c r="O51" s="18">
        <f t="shared" si="201"/>
        <v>321</v>
      </c>
      <c r="P51" s="19">
        <f t="shared" si="202"/>
        <v>320.75</v>
      </c>
      <c r="Q51" s="31">
        <f t="shared" si="203"/>
        <v>319.5</v>
      </c>
      <c r="R51" s="20">
        <f t="shared" si="204"/>
        <v>318.25</v>
      </c>
      <c r="S51" s="19">
        <f t="shared" si="205"/>
        <v>317.75</v>
      </c>
      <c r="T51" s="1">
        <f t="shared" si="206"/>
        <v>317.5</v>
      </c>
      <c r="U51" s="20">
        <f t="shared" si="207"/>
        <v>317</v>
      </c>
      <c r="V51" s="18">
        <f t="shared" si="208"/>
        <v>317</v>
      </c>
      <c r="W51" s="38"/>
      <c r="X51" s="34">
        <f t="shared" si="209"/>
        <v>311.25</v>
      </c>
      <c r="Y51" s="18">
        <f t="shared" si="210"/>
        <v>311.5</v>
      </c>
      <c r="Z51" s="34">
        <f t="shared" si="211"/>
        <v>312</v>
      </c>
      <c r="AA51" s="18">
        <f t="shared" si="212"/>
        <v>312.25</v>
      </c>
      <c r="AB51" s="19">
        <f t="shared" si="213"/>
        <v>312.75</v>
      </c>
      <c r="AC51" s="31">
        <f t="shared" si="214"/>
        <v>313.75</v>
      </c>
      <c r="AD51" s="20">
        <f t="shared" si="215"/>
        <v>315</v>
      </c>
      <c r="AE51" s="19">
        <f t="shared" si="216"/>
        <v>315.5</v>
      </c>
      <c r="AF51" s="41">
        <f t="shared" si="217"/>
        <v>315.75</v>
      </c>
      <c r="AG51" s="20">
        <f t="shared" si="218"/>
        <v>316.25</v>
      </c>
      <c r="AH51" s="18">
        <f t="shared" si="219"/>
        <v>316.5</v>
      </c>
      <c r="AK51" s="22"/>
    </row>
    <row r="52" spans="1:37" s="21" customFormat="1" x14ac:dyDescent="0.25">
      <c r="A52" s="13" t="s">
        <v>53</v>
      </c>
      <c r="B52" s="14" t="str">
        <f t="shared" si="149"/>
        <v>Buy</v>
      </c>
      <c r="C52" s="15">
        <f t="shared" si="150"/>
        <v>4.6000000000000227</v>
      </c>
      <c r="D52" s="14" t="str">
        <f t="shared" si="151"/>
        <v/>
      </c>
      <c r="E52" s="14" t="str">
        <f t="shared" si="152"/>
        <v/>
      </c>
      <c r="F52" s="16">
        <f>VLOOKUP(A52,LiveData!A:E,5,0)</f>
        <v>587.85</v>
      </c>
      <c r="G52" s="17">
        <f>VLOOKUP(A52,LiveData!A:E,2,0)</f>
        <v>582</v>
      </c>
      <c r="H52" s="17">
        <f>VLOOKUP(A52,LiveData!A:E,3,0)</f>
        <v>589.95000000000005</v>
      </c>
      <c r="I52" s="17">
        <f>VLOOKUP(A52,LiveData!A:E,4,0)</f>
        <v>576.65</v>
      </c>
      <c r="J52" s="17">
        <f>VLOOKUP(A52,LiveData!A:F,6,0)</f>
        <v>12.97</v>
      </c>
      <c r="K52" s="17">
        <f t="shared" si="153"/>
        <v>582</v>
      </c>
      <c r="L52" s="34">
        <f t="shared" si="198"/>
        <v>589.25</v>
      </c>
      <c r="M52" s="18">
        <f t="shared" si="199"/>
        <v>589</v>
      </c>
      <c r="N52" s="34">
        <f t="shared" si="200"/>
        <v>588.25</v>
      </c>
      <c r="O52" s="18">
        <f t="shared" si="201"/>
        <v>588</v>
      </c>
      <c r="P52" s="19">
        <f t="shared" si="202"/>
        <v>587.5</v>
      </c>
      <c r="Q52" s="31">
        <f t="shared" si="203"/>
        <v>585.75</v>
      </c>
      <c r="R52" s="20">
        <f t="shared" si="204"/>
        <v>584.25</v>
      </c>
      <c r="S52" s="19">
        <f t="shared" si="205"/>
        <v>583.5</v>
      </c>
      <c r="T52" s="1">
        <f t="shared" si="206"/>
        <v>583.25</v>
      </c>
      <c r="U52" s="20">
        <f t="shared" si="207"/>
        <v>582.75</v>
      </c>
      <c r="V52" s="18">
        <f t="shared" si="208"/>
        <v>582.25</v>
      </c>
      <c r="W52" s="38"/>
      <c r="X52" s="34">
        <f t="shared" si="209"/>
        <v>574.75</v>
      </c>
      <c r="Y52" s="18">
        <f t="shared" si="210"/>
        <v>575</v>
      </c>
      <c r="Z52" s="34">
        <f t="shared" si="211"/>
        <v>575.75</v>
      </c>
      <c r="AA52" s="18">
        <f t="shared" si="212"/>
        <v>576</v>
      </c>
      <c r="AB52" s="19">
        <f t="shared" si="213"/>
        <v>576.5</v>
      </c>
      <c r="AC52" s="31">
        <f t="shared" si="214"/>
        <v>578.25</v>
      </c>
      <c r="AD52" s="20">
        <f t="shared" si="215"/>
        <v>579.75</v>
      </c>
      <c r="AE52" s="19">
        <f t="shared" si="216"/>
        <v>580.5</v>
      </c>
      <c r="AF52" s="41">
        <f t="shared" si="217"/>
        <v>580.75</v>
      </c>
      <c r="AG52" s="20">
        <f t="shared" si="218"/>
        <v>581.25</v>
      </c>
      <c r="AH52" s="18">
        <f t="shared" si="219"/>
        <v>581.75</v>
      </c>
      <c r="AK52" s="22"/>
    </row>
  </sheetData>
  <sortState ref="A3:AC53">
    <sortCondition ref="A3:A53"/>
  </sortState>
  <mergeCells count="11">
    <mergeCell ref="K1:K2"/>
    <mergeCell ref="G1:G2"/>
    <mergeCell ref="D1:D2"/>
    <mergeCell ref="B1:B2"/>
    <mergeCell ref="A1:A2"/>
    <mergeCell ref="H1:H2"/>
    <mergeCell ref="F1:F2"/>
    <mergeCell ref="I1:I2"/>
    <mergeCell ref="C1:C2"/>
    <mergeCell ref="E1:E2"/>
    <mergeCell ref="J1:J2"/>
  </mergeCells>
  <conditionalFormatting sqref="B1 D1 B3:F30 B48:F52 B36:F46 B32:F33 B53:B1048576">
    <cfRule type="cellIs" dxfId="15" priority="15" operator="equal">
      <formula>"SELL"</formula>
    </cfRule>
    <cfRule type="cellIs" dxfId="14" priority="16" operator="equal">
      <formula>"BUY"</formula>
    </cfRule>
  </conditionalFormatting>
  <conditionalFormatting sqref="E1:E30 E48:E52 E36:E46 E32:E33">
    <cfRule type="cellIs" dxfId="13" priority="14" operator="between">
      <formula>0</formula>
      <formula>-1</formula>
    </cfRule>
  </conditionalFormatting>
  <conditionalFormatting sqref="C1:C30 C48:C52 C36:C46 C32:C33">
    <cfRule type="cellIs" dxfId="12" priority="13" operator="between">
      <formula>0</formula>
      <formula>1</formula>
    </cfRule>
  </conditionalFormatting>
  <conditionalFormatting sqref="B47:F47">
    <cfRule type="cellIs" dxfId="11" priority="11" operator="equal">
      <formula>"SELL"</formula>
    </cfRule>
    <cfRule type="cellIs" dxfId="10" priority="12" operator="equal">
      <formula>"BUY"</formula>
    </cfRule>
  </conditionalFormatting>
  <conditionalFormatting sqref="E47">
    <cfRule type="cellIs" dxfId="9" priority="10" operator="between">
      <formula>0</formula>
      <formula>-1</formula>
    </cfRule>
  </conditionalFormatting>
  <conditionalFormatting sqref="C47">
    <cfRule type="cellIs" dxfId="8" priority="9" operator="between">
      <formula>0</formula>
      <formula>1</formula>
    </cfRule>
  </conditionalFormatting>
  <conditionalFormatting sqref="B34:F35">
    <cfRule type="cellIs" dxfId="7" priority="7" operator="equal">
      <formula>"SELL"</formula>
    </cfRule>
    <cfRule type="cellIs" dxfId="6" priority="8" operator="equal">
      <formula>"BUY"</formula>
    </cfRule>
  </conditionalFormatting>
  <conditionalFormatting sqref="E34:E35">
    <cfRule type="cellIs" dxfId="5" priority="6" operator="between">
      <formula>0</formula>
      <formula>-1</formula>
    </cfRule>
  </conditionalFormatting>
  <conditionalFormatting sqref="C34:C35">
    <cfRule type="cellIs" dxfId="4" priority="5" operator="between">
      <formula>0</formula>
      <formula>1</formula>
    </cfRule>
  </conditionalFormatting>
  <conditionalFormatting sqref="B31:F31">
    <cfRule type="cellIs" dxfId="3" priority="3" operator="equal">
      <formula>"SELL"</formula>
    </cfRule>
    <cfRule type="cellIs" dxfId="2" priority="4" operator="equal">
      <formula>"BUY"</formula>
    </cfRule>
  </conditionalFormatting>
  <conditionalFormatting sqref="E31">
    <cfRule type="cellIs" dxfId="1" priority="2" operator="between">
      <formula>0</formula>
      <formula>-1</formula>
    </cfRule>
  </conditionalFormatting>
  <conditionalFormatting sqref="C31">
    <cfRule type="cellIs" dxfId="0" priority="1" operator="between">
      <formula>0</formula>
      <formula>1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35</xdr:col>
                <xdr:colOff>400050</xdr:colOff>
                <xdr:row>0</xdr:row>
                <xdr:rowOff>28575</xdr:rowOff>
              </from>
              <to>
                <xdr:col>37</xdr:col>
                <xdr:colOff>180975</xdr:colOff>
                <xdr:row>1</xdr:row>
                <xdr:rowOff>209550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1"/>
  <sheetViews>
    <sheetView workbookViewId="0">
      <selection activeCell="F2" sqref="F2"/>
    </sheetView>
  </sheetViews>
  <sheetFormatPr defaultRowHeight="15" x14ac:dyDescent="0.25"/>
  <sheetData>
    <row r="1" spans="1:6" x14ac:dyDescent="0.25">
      <c r="A1" t="s">
        <v>57</v>
      </c>
      <c r="B1" t="s">
        <v>54</v>
      </c>
      <c r="C1" t="s">
        <v>55</v>
      </c>
      <c r="D1" t="s">
        <v>56</v>
      </c>
      <c r="E1" t="s">
        <v>13</v>
      </c>
      <c r="F1" t="s">
        <v>61</v>
      </c>
    </row>
    <row r="2" spans="1:6" x14ac:dyDescent="0.25">
      <c r="A2" t="s">
        <v>45</v>
      </c>
      <c r="B2">
        <v>543.79999999999995</v>
      </c>
      <c r="C2">
        <v>581.70000000000005</v>
      </c>
      <c r="D2">
        <v>543.04999999999995</v>
      </c>
      <c r="E2">
        <v>573.75</v>
      </c>
      <c r="F2">
        <v>233.56</v>
      </c>
    </row>
    <row r="3" spans="1:6" x14ac:dyDescent="0.25">
      <c r="A3" t="s">
        <v>48</v>
      </c>
      <c r="B3" s="2">
        <v>494.5</v>
      </c>
      <c r="C3" s="2">
        <v>505.4</v>
      </c>
      <c r="D3" s="2">
        <v>491.25</v>
      </c>
      <c r="E3" s="2">
        <v>501.45</v>
      </c>
      <c r="F3">
        <v>21.61</v>
      </c>
    </row>
    <row r="4" spans="1:6" x14ac:dyDescent="0.25">
      <c r="A4" t="s">
        <v>26</v>
      </c>
      <c r="B4" s="2">
        <v>2363</v>
      </c>
      <c r="C4" s="2">
        <v>2424.0500000000002</v>
      </c>
      <c r="D4" s="2">
        <v>2362</v>
      </c>
      <c r="E4" s="2">
        <v>2395.1</v>
      </c>
      <c r="F4">
        <v>6.94</v>
      </c>
    </row>
    <row r="5" spans="1:6" x14ac:dyDescent="0.25">
      <c r="A5" t="s">
        <v>51</v>
      </c>
      <c r="B5" s="2">
        <v>303.89999999999998</v>
      </c>
      <c r="C5" s="2">
        <v>308</v>
      </c>
      <c r="D5" s="2">
        <v>300.05</v>
      </c>
      <c r="E5" s="2">
        <v>306.60000000000002</v>
      </c>
      <c r="F5">
        <v>18.16</v>
      </c>
    </row>
    <row r="6" spans="1:6" x14ac:dyDescent="0.25">
      <c r="A6" t="s">
        <v>17</v>
      </c>
      <c r="B6" s="2">
        <v>685.1</v>
      </c>
      <c r="C6" s="2">
        <v>701.4</v>
      </c>
      <c r="D6" s="2">
        <v>682.95</v>
      </c>
      <c r="E6" s="2">
        <v>691</v>
      </c>
      <c r="F6">
        <v>43.81</v>
      </c>
    </row>
    <row r="7" spans="1:6" x14ac:dyDescent="0.25">
      <c r="A7" t="s">
        <v>53</v>
      </c>
      <c r="B7" s="2">
        <v>582</v>
      </c>
      <c r="C7" s="2">
        <v>589.95000000000005</v>
      </c>
      <c r="D7" s="2">
        <v>576.65</v>
      </c>
      <c r="E7" s="2">
        <v>587.85</v>
      </c>
      <c r="F7">
        <v>12.97</v>
      </c>
    </row>
    <row r="8" spans="1:6" x14ac:dyDescent="0.25">
      <c r="A8" t="s">
        <v>50</v>
      </c>
      <c r="B8">
        <v>323.55</v>
      </c>
      <c r="C8">
        <v>328.25</v>
      </c>
      <c r="D8">
        <v>320.60000000000002</v>
      </c>
      <c r="E8">
        <v>324.7</v>
      </c>
      <c r="F8">
        <v>91.25</v>
      </c>
    </row>
    <row r="9" spans="1:6" x14ac:dyDescent="0.25">
      <c r="A9" t="s">
        <v>1</v>
      </c>
      <c r="B9" s="2">
        <v>744.8</v>
      </c>
      <c r="C9" s="2">
        <v>754.9</v>
      </c>
      <c r="D9" s="2">
        <v>739.45</v>
      </c>
      <c r="E9" s="2">
        <v>747</v>
      </c>
      <c r="F9">
        <v>25.24</v>
      </c>
    </row>
    <row r="10" spans="1:6" x14ac:dyDescent="0.25">
      <c r="A10" t="s">
        <v>7</v>
      </c>
      <c r="B10" s="2">
        <v>738.7</v>
      </c>
      <c r="C10" s="2">
        <v>746.5</v>
      </c>
      <c r="D10" s="2">
        <v>735.6</v>
      </c>
      <c r="E10" s="2">
        <v>739</v>
      </c>
      <c r="F10">
        <v>11.38</v>
      </c>
    </row>
    <row r="11" spans="1:6" x14ac:dyDescent="0.25">
      <c r="A11" t="s">
        <v>40</v>
      </c>
      <c r="B11">
        <v>872.95</v>
      </c>
      <c r="C11">
        <v>885.2</v>
      </c>
      <c r="D11">
        <v>870</v>
      </c>
      <c r="E11">
        <v>876</v>
      </c>
      <c r="F11">
        <v>37.11</v>
      </c>
    </row>
    <row r="12" spans="1:6" x14ac:dyDescent="0.25">
      <c r="A12" t="s">
        <v>24</v>
      </c>
      <c r="B12" s="2">
        <v>613</v>
      </c>
      <c r="C12" s="2">
        <v>623.75</v>
      </c>
      <c r="D12" s="2">
        <v>610.20000000000005</v>
      </c>
      <c r="E12" s="2">
        <v>612.4</v>
      </c>
      <c r="F12">
        <v>17.649999999999999</v>
      </c>
    </row>
    <row r="13" spans="1:6" x14ac:dyDescent="0.25">
      <c r="A13" t="s">
        <v>33</v>
      </c>
      <c r="B13" s="2">
        <v>1350.8</v>
      </c>
      <c r="C13" s="2">
        <v>1364</v>
      </c>
      <c r="D13" s="2">
        <v>1342.65</v>
      </c>
      <c r="E13" s="2">
        <v>1349.1</v>
      </c>
      <c r="F13">
        <v>5.7</v>
      </c>
    </row>
    <row r="14" spans="1:6" x14ac:dyDescent="0.25">
      <c r="A14" t="s">
        <v>47</v>
      </c>
      <c r="B14" s="2">
        <v>721.75</v>
      </c>
      <c r="C14" s="2">
        <v>729.6</v>
      </c>
      <c r="D14" s="2">
        <v>717.9</v>
      </c>
      <c r="E14" s="2">
        <v>722</v>
      </c>
      <c r="F14">
        <v>36.119999999999997</v>
      </c>
    </row>
    <row r="15" spans="1:6" x14ac:dyDescent="0.25">
      <c r="A15" t="s">
        <v>8</v>
      </c>
      <c r="B15" s="2">
        <v>512.70000000000005</v>
      </c>
      <c r="C15" s="2">
        <v>513.95000000000005</v>
      </c>
      <c r="D15" s="2">
        <v>506.8</v>
      </c>
      <c r="E15" s="2">
        <v>509</v>
      </c>
      <c r="F15">
        <v>38.5</v>
      </c>
    </row>
    <row r="16" spans="1:6" x14ac:dyDescent="0.25">
      <c r="A16" t="s">
        <v>37</v>
      </c>
      <c r="B16" s="2">
        <v>1028</v>
      </c>
      <c r="C16" s="2">
        <v>1039.0999999999999</v>
      </c>
      <c r="D16" s="2">
        <v>1027.4000000000001</v>
      </c>
      <c r="E16" s="2">
        <v>1034</v>
      </c>
      <c r="F16">
        <v>34.85</v>
      </c>
    </row>
    <row r="17" spans="1:6" x14ac:dyDescent="0.25">
      <c r="A17" t="s">
        <v>27</v>
      </c>
      <c r="B17" s="2">
        <v>30280</v>
      </c>
      <c r="C17" s="2">
        <v>30320</v>
      </c>
      <c r="D17" s="2">
        <v>30100</v>
      </c>
      <c r="E17" s="2">
        <v>30200</v>
      </c>
      <c r="F17">
        <v>0.12</v>
      </c>
    </row>
    <row r="18" spans="1:6" x14ac:dyDescent="0.25">
      <c r="A18" t="s">
        <v>18</v>
      </c>
      <c r="B18" s="2">
        <v>554</v>
      </c>
      <c r="C18" s="2">
        <v>560.65</v>
      </c>
      <c r="D18" s="2">
        <v>551</v>
      </c>
      <c r="E18" s="2">
        <v>553.20000000000005</v>
      </c>
      <c r="F18">
        <v>41.63</v>
      </c>
    </row>
    <row r="19" spans="1:6" x14ac:dyDescent="0.25">
      <c r="A19" t="s">
        <v>16</v>
      </c>
      <c r="B19" s="2">
        <v>1150</v>
      </c>
      <c r="C19" s="2">
        <v>1157</v>
      </c>
      <c r="D19" s="2">
        <v>1142</v>
      </c>
      <c r="E19" s="2">
        <v>1146.2</v>
      </c>
      <c r="F19">
        <v>6.11</v>
      </c>
    </row>
    <row r="20" spans="1:6" x14ac:dyDescent="0.25">
      <c r="A20" t="s">
        <v>25</v>
      </c>
      <c r="B20" s="2">
        <v>263.3</v>
      </c>
      <c r="C20" s="2">
        <v>265.10000000000002</v>
      </c>
      <c r="D20" s="2">
        <v>261.60000000000002</v>
      </c>
      <c r="E20" s="2">
        <v>262.64999999999998</v>
      </c>
      <c r="F20">
        <v>64.010000000000005</v>
      </c>
    </row>
    <row r="21" spans="1:6" x14ac:dyDescent="0.25">
      <c r="A21" t="s">
        <v>3</v>
      </c>
      <c r="B21" s="2">
        <v>1710</v>
      </c>
      <c r="C21" s="2">
        <v>1715</v>
      </c>
      <c r="D21" s="2">
        <v>1705</v>
      </c>
      <c r="E21" s="2">
        <v>1705.55</v>
      </c>
      <c r="F21">
        <v>9.8699999999999992</v>
      </c>
    </row>
    <row r="22" spans="1:6" x14ac:dyDescent="0.25">
      <c r="A22" t="s">
        <v>41</v>
      </c>
      <c r="B22" s="2">
        <v>9694</v>
      </c>
      <c r="C22" s="2">
        <v>9750.7000000000007</v>
      </c>
      <c r="D22" s="2">
        <v>9629.1</v>
      </c>
      <c r="E22" s="2">
        <v>9633</v>
      </c>
      <c r="F22">
        <v>4.03</v>
      </c>
    </row>
    <row r="23" spans="1:6" x14ac:dyDescent="0.25">
      <c r="A23" t="s">
        <v>14</v>
      </c>
      <c r="B23" s="2">
        <v>405.95</v>
      </c>
      <c r="C23" s="2">
        <v>407</v>
      </c>
      <c r="D23" s="2">
        <v>400.7</v>
      </c>
      <c r="E23" s="2">
        <v>402.5</v>
      </c>
      <c r="F23">
        <v>43.55</v>
      </c>
    </row>
    <row r="24" spans="1:6" x14ac:dyDescent="0.25">
      <c r="A24" t="s">
        <v>52</v>
      </c>
      <c r="B24" s="2">
        <v>316.64999999999998</v>
      </c>
      <c r="C24" s="2">
        <v>318.95</v>
      </c>
      <c r="D24" s="2">
        <v>313.35000000000002</v>
      </c>
      <c r="E24" s="2">
        <v>313.89999999999998</v>
      </c>
      <c r="F24">
        <v>89.12</v>
      </c>
    </row>
    <row r="25" spans="1:6" x14ac:dyDescent="0.25">
      <c r="A25" t="s">
        <v>10</v>
      </c>
      <c r="B25" s="2">
        <v>195.3</v>
      </c>
      <c r="C25" s="2">
        <v>196</v>
      </c>
      <c r="D25" s="2">
        <v>191.35</v>
      </c>
      <c r="E25" s="2">
        <v>192.65</v>
      </c>
      <c r="F25">
        <v>72.599999999999994</v>
      </c>
    </row>
    <row r="26" spans="1:6" x14ac:dyDescent="0.25">
      <c r="A26" t="s">
        <v>38</v>
      </c>
      <c r="B26" s="2">
        <v>1016.7</v>
      </c>
      <c r="C26" s="2">
        <v>1022</v>
      </c>
      <c r="D26" s="2">
        <v>1010.15</v>
      </c>
      <c r="E26" s="2">
        <v>1010.2</v>
      </c>
      <c r="F26">
        <v>5.61</v>
      </c>
    </row>
    <row r="27" spans="1:6" x14ac:dyDescent="0.25">
      <c r="A27" t="s">
        <v>42</v>
      </c>
      <c r="B27" s="2">
        <v>202.5</v>
      </c>
      <c r="C27" s="2">
        <v>204.5</v>
      </c>
      <c r="D27" s="2">
        <v>200.8</v>
      </c>
      <c r="E27" s="2">
        <v>201.1</v>
      </c>
      <c r="F27">
        <v>44.05</v>
      </c>
    </row>
    <row r="28" spans="1:6" x14ac:dyDescent="0.25">
      <c r="A28" t="s">
        <v>5</v>
      </c>
      <c r="B28" s="2">
        <v>264.2</v>
      </c>
      <c r="C28" s="2">
        <v>264.3</v>
      </c>
      <c r="D28" s="2">
        <v>261.64999999999998</v>
      </c>
      <c r="E28" s="2">
        <v>262.3</v>
      </c>
      <c r="F28">
        <v>60.91</v>
      </c>
    </row>
    <row r="29" spans="1:6" x14ac:dyDescent="0.25">
      <c r="A29" t="s">
        <v>43</v>
      </c>
      <c r="B29" s="2">
        <v>933</v>
      </c>
      <c r="C29" s="2">
        <v>937.5</v>
      </c>
      <c r="D29" s="2">
        <v>919</v>
      </c>
      <c r="E29" s="2">
        <v>923.25</v>
      </c>
      <c r="F29">
        <v>43.52</v>
      </c>
    </row>
    <row r="30" spans="1:6" x14ac:dyDescent="0.25">
      <c r="A30" t="s">
        <v>46</v>
      </c>
      <c r="B30" s="2">
        <v>423.5</v>
      </c>
      <c r="C30" s="2">
        <v>428.45</v>
      </c>
      <c r="D30" s="2">
        <v>420.3</v>
      </c>
      <c r="E30" s="2">
        <v>421.1</v>
      </c>
      <c r="F30">
        <v>36.729999999999997</v>
      </c>
    </row>
    <row r="31" spans="1:6" x14ac:dyDescent="0.25">
      <c r="A31" t="s">
        <v>28</v>
      </c>
      <c r="B31" s="2">
        <v>886</v>
      </c>
      <c r="C31" s="2">
        <v>891.6</v>
      </c>
      <c r="D31" s="2">
        <v>880.55</v>
      </c>
      <c r="E31" s="2">
        <v>882</v>
      </c>
      <c r="F31">
        <v>4.01</v>
      </c>
    </row>
    <row r="32" spans="1:6" x14ac:dyDescent="0.25">
      <c r="A32" t="s">
        <v>39</v>
      </c>
      <c r="B32" s="2">
        <v>1268.9000000000001</v>
      </c>
      <c r="C32" s="2">
        <v>1275.95</v>
      </c>
      <c r="D32" s="2">
        <v>1251.3</v>
      </c>
      <c r="E32" s="2">
        <v>1259.45</v>
      </c>
      <c r="F32">
        <v>16.75</v>
      </c>
    </row>
    <row r="33" spans="1:6" x14ac:dyDescent="0.25">
      <c r="A33" t="s">
        <v>29</v>
      </c>
      <c r="B33" s="2">
        <v>1870.1</v>
      </c>
      <c r="C33" s="2">
        <v>1870.3</v>
      </c>
      <c r="D33" s="2">
        <v>1851.15</v>
      </c>
      <c r="E33" s="2">
        <v>1852.5</v>
      </c>
      <c r="F33">
        <v>8.7200000000000006</v>
      </c>
    </row>
    <row r="34" spans="1:6" x14ac:dyDescent="0.25">
      <c r="A34" t="s">
        <v>36</v>
      </c>
      <c r="B34" s="2">
        <v>1667.5</v>
      </c>
      <c r="C34" s="2">
        <v>1669.9</v>
      </c>
      <c r="D34" s="2">
        <v>1648.85</v>
      </c>
      <c r="E34" s="2">
        <v>1650</v>
      </c>
      <c r="F34">
        <v>6.25</v>
      </c>
    </row>
    <row r="35" spans="1:6" x14ac:dyDescent="0.25">
      <c r="A35" t="s">
        <v>15</v>
      </c>
      <c r="B35" s="2">
        <v>273.5</v>
      </c>
      <c r="C35" s="2">
        <v>273.75</v>
      </c>
      <c r="D35" s="2">
        <v>268.39999999999998</v>
      </c>
      <c r="E35" s="2">
        <v>270.89999999999998</v>
      </c>
      <c r="F35">
        <v>16.53</v>
      </c>
    </row>
    <row r="36" spans="1:6" x14ac:dyDescent="0.25">
      <c r="A36" t="s">
        <v>2</v>
      </c>
      <c r="B36" s="2">
        <v>534.95000000000005</v>
      </c>
      <c r="C36" s="2">
        <v>541.20000000000005</v>
      </c>
      <c r="D36" s="2">
        <v>531.25</v>
      </c>
      <c r="E36" s="2">
        <v>534</v>
      </c>
      <c r="F36">
        <v>17.84</v>
      </c>
    </row>
    <row r="37" spans="1:6" x14ac:dyDescent="0.25">
      <c r="A37" t="s">
        <v>30</v>
      </c>
      <c r="B37" s="2">
        <v>3813</v>
      </c>
      <c r="C37" s="2">
        <v>3834.4</v>
      </c>
      <c r="D37" s="2">
        <v>3757.05</v>
      </c>
      <c r="E37" s="2">
        <v>3778.35</v>
      </c>
      <c r="F37">
        <v>1.9</v>
      </c>
    </row>
    <row r="38" spans="1:6" x14ac:dyDescent="0.25">
      <c r="A38" t="s">
        <v>35</v>
      </c>
      <c r="B38" s="2">
        <v>1199</v>
      </c>
      <c r="C38" s="2">
        <v>1201.95</v>
      </c>
      <c r="D38" s="2">
        <v>1187.8</v>
      </c>
      <c r="E38" s="2">
        <v>1188</v>
      </c>
      <c r="F38">
        <v>4.6900000000000004</v>
      </c>
    </row>
    <row r="39" spans="1:6" x14ac:dyDescent="0.25">
      <c r="A39" t="s">
        <v>22</v>
      </c>
      <c r="B39" s="2">
        <v>369.5</v>
      </c>
      <c r="C39" s="2">
        <v>371</v>
      </c>
      <c r="D39" s="2">
        <v>365.25</v>
      </c>
      <c r="E39" s="2">
        <v>366</v>
      </c>
      <c r="F39">
        <v>11.99</v>
      </c>
    </row>
    <row r="40" spans="1:6" x14ac:dyDescent="0.25">
      <c r="A40" t="s">
        <v>6</v>
      </c>
      <c r="B40" s="2">
        <v>178.45</v>
      </c>
      <c r="C40" s="2">
        <v>180.3</v>
      </c>
      <c r="D40" s="2">
        <v>176.6</v>
      </c>
      <c r="E40" s="2">
        <v>176.65</v>
      </c>
      <c r="F40">
        <v>65.349999999999994</v>
      </c>
    </row>
    <row r="41" spans="1:6" x14ac:dyDescent="0.25">
      <c r="A41" t="s">
        <v>19</v>
      </c>
      <c r="B41" s="2">
        <v>3385</v>
      </c>
      <c r="C41" s="2">
        <v>3385</v>
      </c>
      <c r="D41" s="2">
        <v>3320</v>
      </c>
      <c r="E41" s="2">
        <v>3332.1</v>
      </c>
      <c r="F41">
        <v>2.0699999999999998</v>
      </c>
    </row>
    <row r="42" spans="1:6" x14ac:dyDescent="0.25">
      <c r="A42" t="s">
        <v>32</v>
      </c>
      <c r="B42" s="2">
        <v>428</v>
      </c>
      <c r="C42" s="2">
        <v>429.6</v>
      </c>
      <c r="D42" s="2">
        <v>423.35</v>
      </c>
      <c r="E42" s="2">
        <v>425.65</v>
      </c>
      <c r="F42">
        <v>19.46</v>
      </c>
    </row>
    <row r="43" spans="1:6" x14ac:dyDescent="0.25">
      <c r="A43" t="s">
        <v>20</v>
      </c>
      <c r="B43" s="2">
        <v>1797.2</v>
      </c>
      <c r="C43" s="2">
        <v>1797.6</v>
      </c>
      <c r="D43" s="2">
        <v>1762</v>
      </c>
      <c r="E43" s="2">
        <v>1768.9</v>
      </c>
      <c r="F43">
        <v>4.5</v>
      </c>
    </row>
    <row r="44" spans="1:6" x14ac:dyDescent="0.25">
      <c r="A44" t="s">
        <v>44</v>
      </c>
      <c r="B44" s="2">
        <v>316.5</v>
      </c>
      <c r="C44" s="2">
        <v>320.3</v>
      </c>
      <c r="D44" s="2">
        <v>313.05</v>
      </c>
      <c r="E44" s="2">
        <v>313.45</v>
      </c>
      <c r="F44">
        <v>142.76</v>
      </c>
    </row>
    <row r="45" spans="1:6" x14ac:dyDescent="0.25">
      <c r="A45" t="s">
        <v>31</v>
      </c>
      <c r="B45" s="2">
        <v>268.89999999999998</v>
      </c>
      <c r="C45" s="2">
        <v>269.7</v>
      </c>
      <c r="D45" s="2">
        <v>264.7</v>
      </c>
      <c r="E45" s="2">
        <v>265.5</v>
      </c>
      <c r="F45">
        <v>63.52</v>
      </c>
    </row>
    <row r="46" spans="1:6" x14ac:dyDescent="0.25">
      <c r="A46" t="s">
        <v>9</v>
      </c>
      <c r="B46" s="2">
        <v>2649.45</v>
      </c>
      <c r="C46" s="2">
        <v>2658.5</v>
      </c>
      <c r="D46" s="2">
        <v>2610.5</v>
      </c>
      <c r="E46" s="2">
        <v>2617</v>
      </c>
      <c r="F46">
        <v>3.7</v>
      </c>
    </row>
    <row r="47" spans="1:6" x14ac:dyDescent="0.25">
      <c r="A47" t="s">
        <v>23</v>
      </c>
      <c r="B47" s="2">
        <v>20350</v>
      </c>
      <c r="C47" s="2">
        <v>20350</v>
      </c>
      <c r="D47" s="2">
        <v>19999</v>
      </c>
      <c r="E47" s="2">
        <v>20010.05</v>
      </c>
      <c r="F47">
        <v>0.11</v>
      </c>
    </row>
    <row r="48" spans="1:6" x14ac:dyDescent="0.25">
      <c r="A48" t="s">
        <v>49</v>
      </c>
      <c r="B48" s="2">
        <v>4313</v>
      </c>
      <c r="C48" s="2">
        <v>4337.95</v>
      </c>
      <c r="D48" s="2">
        <v>4265.1499999999996</v>
      </c>
      <c r="E48" s="2">
        <v>4272</v>
      </c>
      <c r="F48">
        <v>0.85</v>
      </c>
    </row>
    <row r="49" spans="1:6" x14ac:dyDescent="0.25">
      <c r="A49" t="s">
        <v>34</v>
      </c>
      <c r="B49" s="2">
        <v>315.95</v>
      </c>
      <c r="C49" s="2">
        <v>317.89999999999998</v>
      </c>
      <c r="D49" s="2">
        <v>312.10000000000002</v>
      </c>
      <c r="E49" s="2">
        <v>312.5</v>
      </c>
      <c r="F49">
        <v>63.55</v>
      </c>
    </row>
    <row r="50" spans="1:6" x14ac:dyDescent="0.25">
      <c r="A50" t="s">
        <v>21</v>
      </c>
      <c r="B50" s="2">
        <v>544.5</v>
      </c>
      <c r="C50" s="2">
        <v>547.5</v>
      </c>
      <c r="D50" s="2">
        <v>530.6</v>
      </c>
      <c r="E50" s="2">
        <v>533.04999999999995</v>
      </c>
      <c r="F50">
        <v>60.39</v>
      </c>
    </row>
    <row r="51" spans="1:6" x14ac:dyDescent="0.25">
      <c r="A51" t="s">
        <v>4</v>
      </c>
      <c r="B51" s="2">
        <v>408</v>
      </c>
      <c r="C51" s="2">
        <v>408.95</v>
      </c>
      <c r="D51" s="2">
        <v>400.2</v>
      </c>
      <c r="E51" s="2">
        <v>401</v>
      </c>
      <c r="F51">
        <v>31.41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Nifty 50</vt:lpstr>
    </vt:vector>
  </TitlesOfParts>
  <Company>The Bank of New York Mellon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Pillai, Ashish Ramlingam</dc:creator>
  <cp:lastModifiedBy>Pillai, Ashish Ramlingam</cp:lastModifiedBy>
  <dcterms:created xsi:type="dcterms:W3CDTF">2017-12-13T06:14:48Z</dcterms:created>
  <dcterms:modified xsi:type="dcterms:W3CDTF">2017-12-27T10:40:58Z</dcterms:modified>
</cp:coreProperties>
</file>